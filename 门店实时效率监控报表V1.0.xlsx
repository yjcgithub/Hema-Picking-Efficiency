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tech_\Downloads\Compressed\门店效率实时监控表(1)\"/>
    </mc:Choice>
  </mc:AlternateContent>
  <xr:revisionPtr revIDLastSave="0" documentId="13_ncr:1_{113D87A3-59E9-4CD4-9021-3976C7BF7092}" xr6:coauthVersionLast="47" xr6:coauthVersionMax="47" xr10:uidLastSave="{00000000-0000-0000-0000-000000000000}"/>
  <bookViews>
    <workbookView xWindow="-108" yWindow="-108" windowWidth="30936" windowHeight="18816" activeTab="3" xr2:uid="{00000000-000D-0000-FFFF-FFFF00000000}"/>
  </bookViews>
  <sheets>
    <sheet name="监控报表使用手册" sheetId="9" r:id="rId1"/>
    <sheet name="前后场填写" sheetId="3" r:id="rId2"/>
    <sheet name="拣货单" sheetId="2" r:id="rId3"/>
    <sheet name="日维度BY人效率监控-查看" sheetId="8" r:id="rId4"/>
    <sheet name="月维度BY人效率监控-查看" sheetId="5" r:id="rId5"/>
    <sheet name="效率-按作业类型" sheetId="10" r:id="rId13"/>
    <sheet name="效率-按人" sheetId="11" r:id="rId14"/>
    <sheet name="效率-按小时" sheetId="12" r:id="rId15"/>
    <sheet name="效率-作业类型x小时" sheetId="13" r:id="rId16"/>
    <sheet name="效率-作业类型拣货人x小时" sheetId="14" r:id="rId17"/>
  </sheets>
  <definedNames>
    <definedName name="ExternalData_1" localSheetId="2" hidden="1">拣货单!$A$1:$O$29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7901E7-9370-4C0E-9C35-06B2F3B215E3}" keepAlive="1" name="查询 - 拣货单明细" description="与工作簿中“拣货单明细”查询的连接。" type="5" refreshedVersion="8" background="1" saveData="1">
    <dbPr connection="Provider=Microsoft.Mashup.OleDb.1;Data Source=$Workbook$;Location=拣货单明细;Extended Properties=&quot;&quot;" command="SELECT * FROM [拣货单明细]"/>
  </connection>
</connections>
</file>

<file path=xl/sharedStrings.xml><?xml version="1.0" encoding="utf-8"?>
<sst xmlns="http://schemas.openxmlformats.org/spreadsheetml/2006/main" count="1052" uniqueCount="205">
  <si>
    <t>拣货单号</t>
  </si>
  <si>
    <t>批次单号</t>
  </si>
  <si>
    <t>任务子类型</t>
  </si>
  <si>
    <t>所属波次号</t>
  </si>
  <si>
    <t>拣货分区</t>
  </si>
  <si>
    <t>拣货人</t>
  </si>
  <si>
    <t>拣货开始时间</t>
  </si>
  <si>
    <t>拣货完成时间</t>
  </si>
  <si>
    <t>拣货数量</t>
  </si>
  <si>
    <t>拣货行数</t>
  </si>
  <si>
    <t>前后场分区</t>
    <phoneticPr fontId="1" type="noConversion"/>
  </si>
  <si>
    <t>月份</t>
  </si>
  <si>
    <t>拣货时长</t>
  </si>
  <si>
    <t>作业类型</t>
    <phoneticPr fontId="1" type="noConversion"/>
  </si>
  <si>
    <t>日期</t>
  </si>
  <si>
    <t>小时</t>
  </si>
  <si>
    <t>总计</t>
  </si>
  <si>
    <t/>
  </si>
  <si>
    <t>效率达成</t>
  </si>
  <si>
    <t>后场/一体化</t>
  </si>
  <si>
    <t>1、下载FY27财年门店效率实时监控报表V1.0模版文件，另存在电脑D盘；</t>
    <phoneticPr fontId="1" type="noConversion"/>
  </si>
  <si>
    <t>2、打开：门店实时效率监控报表V1.0电子表，修改PQ数据取值路径</t>
    <phoneticPr fontId="1" type="noConversion"/>
  </si>
  <si>
    <t>3、下载门店视角：拣货单，不做任何修改，另存在模版文件拣货单中；</t>
    <phoneticPr fontId="1" type="noConversion"/>
  </si>
  <si>
    <t>4、第一次数据更新：</t>
    <phoneticPr fontId="1" type="noConversion"/>
  </si>
  <si>
    <t>5、前后场分区填写；</t>
    <phoneticPr fontId="1" type="noConversion"/>
  </si>
  <si>
    <t>6、刷新日度监控表；</t>
    <phoneticPr fontId="1" type="noConversion"/>
  </si>
  <si>
    <t>拆零普通拣货</t>
  </si>
  <si>
    <t>拆零拣打一体</t>
  </si>
  <si>
    <t>一体化</t>
  </si>
  <si>
    <t>AH 水产*A</t>
  </si>
  <si>
    <t>HCCLFQ 后场拣货策略分区</t>
  </si>
  <si>
    <t>谢向琴</t>
  </si>
  <si>
    <t>ABCD 标品/烘焙*A</t>
  </si>
  <si>
    <t>A 日配/肉禽 *A</t>
  </si>
  <si>
    <t>P3 后场拣货区（黄金）*P</t>
  </si>
  <si>
    <t>P1 蔬果*A</t>
  </si>
  <si>
    <t>P 后场拣货区（标品）*P</t>
  </si>
  <si>
    <t>KTLX 海鲜岛/联营*A</t>
  </si>
  <si>
    <t>后场合流</t>
    <phoneticPr fontId="1" type="noConversion"/>
  </si>
  <si>
    <t>前场合流</t>
    <phoneticPr fontId="1" type="noConversion"/>
  </si>
  <si>
    <t>后场合流合流</t>
  </si>
  <si>
    <t>2026-06-14 07:20:56</t>
  </si>
  <si>
    <t>8.000</t>
  </si>
  <si>
    <t>7</t>
  </si>
  <si>
    <t>昆明盒马鲜生顺城购物中心店配送站</t>
  </si>
  <si>
    <t>否</t>
  </si>
  <si>
    <t>RF</t>
  </si>
  <si>
    <t>拣打一体</t>
  </si>
  <si>
    <t>1</t>
  </si>
  <si>
    <t>0</t>
  </si>
  <si>
    <t>296</t>
  </si>
  <si>
    <t>未满</t>
  </si>
  <si>
    <t>拆零_根据批次组包</t>
  </si>
  <si>
    <t>盒马</t>
  </si>
  <si>
    <t>普通拣货</t>
  </si>
  <si>
    <t>普通销售</t>
  </si>
  <si>
    <t>2026-06-14 07:13:50</t>
  </si>
  <si>
    <t>4.000</t>
  </si>
  <si>
    <t>4</t>
  </si>
  <si>
    <t>普通</t>
  </si>
  <si>
    <t>102</t>
  </si>
  <si>
    <t>1.000</t>
  </si>
  <si>
    <t>68</t>
  </si>
  <si>
    <t>7.000</t>
  </si>
  <si>
    <t>6</t>
  </si>
  <si>
    <t>138</t>
  </si>
  <si>
    <t>2026-06-14 07:00:46</t>
  </si>
  <si>
    <t>单区</t>
  </si>
  <si>
    <t>是</t>
  </si>
  <si>
    <t>小二责任</t>
  </si>
  <si>
    <t>2026-06-14 07:34:46</t>
  </si>
  <si>
    <t>11.000</t>
  </si>
  <si>
    <t>2026-06-14 07:00:47</t>
  </si>
  <si>
    <t>8</t>
  </si>
  <si>
    <t>334</t>
  </si>
  <si>
    <t>2026-06-14 07:21:49</t>
  </si>
  <si>
    <t>48</t>
  </si>
  <si>
    <t>2026-06-14 07:21:50</t>
  </si>
  <si>
    <t>16.000</t>
  </si>
  <si>
    <t>12</t>
  </si>
  <si>
    <t>2</t>
  </si>
  <si>
    <t>246</t>
  </si>
  <si>
    <t>2026-06-14 07:32:56</t>
  </si>
  <si>
    <t>1.034</t>
  </si>
  <si>
    <t>128</t>
  </si>
  <si>
    <t>3.000</t>
  </si>
  <si>
    <t>2026-06-14 07:37:49</t>
  </si>
  <si>
    <t>9.000</t>
  </si>
  <si>
    <t>9</t>
  </si>
  <si>
    <t>192</t>
  </si>
  <si>
    <t>2026-06-14 07:23:58</t>
  </si>
  <si>
    <t>2026-06-14 07:09:47</t>
  </si>
  <si>
    <t>0.520</t>
  </si>
  <si>
    <t>档口责任</t>
  </si>
  <si>
    <t>5.000</t>
  </si>
  <si>
    <t>5</t>
  </si>
  <si>
    <t>120</t>
  </si>
  <si>
    <t>2026-06-14 07:21:48</t>
  </si>
  <si>
    <t>111</t>
  </si>
  <si>
    <t>2026-06-14 07:47:47</t>
  </si>
  <si>
    <t>6.000</t>
  </si>
  <si>
    <t>258</t>
  </si>
  <si>
    <t>2026-06-14 15:26:55</t>
  </si>
  <si>
    <t>列1</t>
  </si>
  <si>
    <t>列2</t>
  </si>
  <si>
    <t>列3</t>
  </si>
  <si>
    <t>列4</t>
  </si>
  <si>
    <t>列5</t>
  </si>
  <si>
    <t>列6</t>
  </si>
  <si>
    <t>列7</t>
  </si>
  <si>
    <t>列8</t>
  </si>
  <si>
    <t>列9</t>
  </si>
  <si>
    <t>列10</t>
  </si>
  <si>
    <t>列11</t>
  </si>
  <si>
    <t>列12</t>
  </si>
  <si>
    <t>列13</t>
  </si>
  <si>
    <t>列14</t>
  </si>
  <si>
    <t>列15</t>
  </si>
  <si>
    <t>列16</t>
  </si>
  <si>
    <t>列17</t>
  </si>
  <si>
    <t>列18</t>
  </si>
  <si>
    <t>列19</t>
  </si>
  <si>
    <t>列20</t>
  </si>
  <si>
    <t>列21</t>
  </si>
  <si>
    <t>列22</t>
  </si>
  <si>
    <t>列23</t>
  </si>
  <si>
    <t>列24</t>
  </si>
  <si>
    <t>列25</t>
  </si>
  <si>
    <t>列26</t>
  </si>
  <si>
    <t>列27</t>
  </si>
  <si>
    <t>列28</t>
  </si>
  <si>
    <t>列29</t>
  </si>
  <si>
    <t>列30</t>
  </si>
  <si>
    <t>列31</t>
  </si>
  <si>
    <t>列32</t>
  </si>
  <si>
    <t>列33</t>
  </si>
  <si>
    <t>列34</t>
  </si>
  <si>
    <t>列35</t>
  </si>
  <si>
    <t>列36</t>
  </si>
  <si>
    <t>列37</t>
  </si>
  <si>
    <t>列38</t>
  </si>
  <si>
    <t>列39</t>
  </si>
  <si>
    <t>列40</t>
  </si>
  <si>
    <t>20005PK260730000009</t>
  </si>
  <si>
    <t>425864389126073009</t>
  </si>
  <si>
    <t>20005WA260730000004</t>
  </si>
  <si>
    <t>祝馨</t>
  </si>
  <si>
    <t>20005PK260730000010</t>
  </si>
  <si>
    <t>421603379826073009</t>
  </si>
  <si>
    <t>20005WA260730000005</t>
  </si>
  <si>
    <t>李消</t>
  </si>
  <si>
    <t>20005PK260730000018</t>
  </si>
  <si>
    <t>426197531226073009</t>
  </si>
  <si>
    <t>20005WA260730000009</t>
  </si>
  <si>
    <t>戴恒</t>
  </si>
  <si>
    <t>20005PK260730000024</t>
  </si>
  <si>
    <t>421539482026073009</t>
  </si>
  <si>
    <t>20005WA260730000012</t>
  </si>
  <si>
    <t>高娟</t>
  </si>
  <si>
    <t>20005PK260730000025</t>
  </si>
  <si>
    <t>20005PK260730000015</t>
  </si>
  <si>
    <t>421539469226073009</t>
  </si>
  <si>
    <t>20005WA260730000008</t>
  </si>
  <si>
    <t>周凡倢</t>
  </si>
  <si>
    <t>20005PK260730000016</t>
  </si>
  <si>
    <t>20005PK260730000017</t>
  </si>
  <si>
    <t>20005PK260730000011</t>
  </si>
  <si>
    <t>421563465126073009</t>
  </si>
  <si>
    <t>20005WA260730000007</t>
  </si>
  <si>
    <t>20005PK260730000044</t>
  </si>
  <si>
    <t>428242565326073009</t>
  </si>
  <si>
    <t>20005WA260730000023</t>
  </si>
  <si>
    <t>20005PK260730000020</t>
  </si>
  <si>
    <t>428306402226073009</t>
  </si>
  <si>
    <t>20005WA260730000011</t>
  </si>
  <si>
    <t>20005PK260730000021</t>
  </si>
  <si>
    <t>20005PK260730000022</t>
  </si>
  <si>
    <t>20005PK260730000005</t>
  </si>
  <si>
    <t>428246474426073009</t>
  </si>
  <si>
    <t>20005WA260730000003</t>
  </si>
  <si>
    <t>20005PK260730000006</t>
  </si>
  <si>
    <t>20005PK260730000007</t>
  </si>
  <si>
    <t>20005PK260730000008</t>
  </si>
  <si>
    <t>20005PK260730000026</t>
  </si>
  <si>
    <t>426241453806073009</t>
  </si>
  <si>
    <t>20005WA260730000014</t>
  </si>
  <si>
    <t>20005PK260730000027</t>
  </si>
  <si>
    <t>20005PK260730000028</t>
  </si>
  <si>
    <t>20005PK260730000029</t>
  </si>
  <si>
    <t>朱桂鋆</t>
  </si>
  <si>
    <t>20005PK260730000040</t>
  </si>
  <si>
    <t>428294439826073009</t>
  </si>
  <si>
    <t>20005WA260730000019</t>
  </si>
  <si>
    <t>20005PK260730000049</t>
  </si>
  <si>
    <t>425792578126073009</t>
  </si>
  <si>
    <t>20005WA260730000025</t>
  </si>
  <si>
    <t>20005PK260730000050</t>
  </si>
  <si>
    <t>邰心语</t>
  </si>
  <si>
    <t>20005PK260730000051</t>
  </si>
  <si>
    <t>20005PK260730000052</t>
  </si>
  <si>
    <t>20005PK260730000053</t>
  </si>
  <si>
    <t>20005PK260730000062</t>
  </si>
  <si>
    <t>428306468926073009</t>
  </si>
  <si>
    <t>20005WA260730000031</t>
  </si>
  <si>
    <t>(全部)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</si>
</sst>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0" fontId="0" fillId="0" borderId="0" xfId="0" pivotButton="1"/>
    <xf numFmtId="176" fontId="0" fillId="0" borderId="0" xfId="0" applyNumberFormat="1" applyAlignment="1">
      <alignment horizont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22" fontId="0" fillId="0" borderId="0" xfId="0" applyNumberFormat="1" applyAlignment="1">
      <alignment vertical="center"/>
    </xf>
  </cellXfs>
  <cellStyles count="1">
    <cellStyle name="常规" xfId="0" builtinId="0"/>
  </cellStyles>
  <dxfs count="75">
    <dxf>
      <alignment horizontal="center"/>
    </dxf>
    <dxf>
      <numFmt numFmtId="177" formatCode="#&quot;月&quot;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27" formatCode="yyyy/m/d\ h:mm"/>
      <alignment horizontal="general" vertical="center" textRotation="0" wrapText="0" indent="0" justifyLastLine="0" shrinkToFit="0" readingOrder="0"/>
    </dxf>
    <dxf>
      <numFmt numFmtId="27" formatCode="yyyy/m/d\ h:mm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9" formatCode="yyyy/m/d"/>
    </dxf>
    <dxf>
      <alignment horizontal="center" vertical="bottom" textRotation="0" wrapText="0" indent="0" justifyLastLine="0" shrinkToFit="0" readingOrder="0"/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3" Type="http://schemas.openxmlformats.org/officeDocument/2006/relationships/worksheet" Target="worksheets/sheet6.xml"/><Relationship Id="rId14" Type="http://schemas.openxmlformats.org/officeDocument/2006/relationships/worksheet" Target="worksheets/sheet7.xml"/><Relationship Id="rId15" Type="http://schemas.openxmlformats.org/officeDocument/2006/relationships/worksheet" Target="worksheets/sheet8.xml"/><Relationship Id="rId16" Type="http://schemas.openxmlformats.org/officeDocument/2006/relationships/worksheet" Target="worksheets/sheet9.xml"/><Relationship Id="rId17" Type="http://schemas.openxmlformats.org/officeDocument/2006/relationships/worksheet" Target="worksheets/sheet10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121919</xdr:colOff>
      <xdr:row>2</xdr:row>
      <xdr:rowOff>60960</xdr:rowOff>
    </xdr:from>
    <xdr:to>
      <xdr:col>5</xdr:col>
      <xdr:colOff>358698</xdr:colOff>
      <xdr:row>19</xdr:row>
      <xdr:rowOff>129540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266F45E0-E744-4282-BFFE-5288E0AFBD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19" y="411480"/>
          <a:ext cx="10036099" cy="3048000"/>
        </a:xfrm>
        <a:prstGeom prst="rect">
          <a:avLst/>
        </a:prstGeom>
      </xdr:spPr>
    </xdr:pic>
    <xdr:clientData/>
  </xdr:twoCellAnchor>
  <xdr:twoCellAnchor editAs="oneCell">
    <xdr:from>
      <xdr:col>0</xdr:col>
      <xdr:colOff>327660</xdr:colOff>
      <xdr:row>18</xdr:row>
      <xdr:rowOff>160021</xdr:rowOff>
    </xdr:from>
    <xdr:to>
      <xdr:col>5</xdr:col>
      <xdr:colOff>548640</xdr:colOff>
      <xdr:row>30</xdr:row>
      <xdr:rowOff>99060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FFD7BB4B-F04B-403D-B30B-5A34B4E2FA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7660" y="3314701"/>
          <a:ext cx="10020300" cy="2042159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杨嘉晨" refreshedDate="46279.238453935184" createdVersion="7" refreshedVersion="8" minRefreshableVersion="3" recordCount="28" xr:uid="{1A46AD85-187F-4F8D-ABAB-EAB6944EE669}">
  <cacheSource type="worksheet">
    <worksheetSource name="拣货单明细"/>
  </cacheSource>
  <cacheFields count="56">
    <cacheField name="月份" numFmtId="0">
      <sharedItems containsSemiMixedTypes="0" containsString="0" containsNumber="1" containsInteger="1" minValue="4" maxValue="7" count="4">
        <n v="7"/>
        <n v="6" u="1"/>
        <n v="5" u="1"/>
        <n v="4" u="1"/>
      </sharedItems>
    </cacheField>
    <cacheField name="日期" numFmtId="14">
      <sharedItems containsSemiMixedTypes="0" containsNonDate="0" containsDate="1" containsString="0" minDate="2026-07-30T00:00:00" maxDate="2026-07-31T00:00:00" count="1">
        <d v="2026-07-30T00:00:00"/>
      </sharedItems>
    </cacheField>
    <cacheField name="小时" numFmtId="0">
      <sharedItems containsSemiMixedTypes="0" containsString="0" containsNumber="1" containsInteger="1" minValue="6" maxValue="22" count="17">
        <n v="7"/>
        <n v="8" u="1"/>
        <n v="9" u="1"/>
        <n v="10" u="1"/>
        <n v="11" u="1"/>
        <n v="12" u="1"/>
        <n v="13" u="1"/>
        <n v="14" u="1"/>
        <n v="16" u="1"/>
        <n v="15" u="1"/>
        <n v="17" u="1"/>
        <n v="18" u="1"/>
        <n v="19" u="1"/>
        <n v="20" u="1"/>
        <n v="21" u="1"/>
        <n v="22" u="1"/>
        <n v="6" u="1"/>
      </sharedItems>
    </cacheField>
    <cacheField name="拣货单号" numFmtId="0">
      <sharedItems/>
    </cacheField>
    <cacheField name="作业类型" numFmtId="0">
      <sharedItems count="970">
        <s v="一体化"/>
        <s v="前场合流合流"/>
        <s v="后场合流合流"/>
        <s v="427230604626061408" u="1"/>
        <s v="424148236926061408" u="1"/>
        <s v="429195160226061408" u="1"/>
        <s v="427318118826061408" u="1"/>
        <s v="429195160326061408" u="1"/>
        <s v="427330083326061408" u="1"/>
        <s v="427226636326061408" u="1"/>
        <s v="427210679026061408" u="1"/>
        <s v="429107550526061408" u="1"/>
        <s v="427306132426061408" u="1"/>
        <s v="427330083226061408" u="1"/>
        <s v="429195243226061408" u="1"/>
        <s v="424649506526061408" u="1"/>
        <s v="429195227926061408" u="1"/>
        <s v="424092582326061408" u="1"/>
        <s v="424661469926061408" u="1"/>
        <s v="424573768126061408" u="1"/>
        <s v="429219110706061408" u="1"/>
        <s v="424116333126061408" u="1"/>
        <s v="427326071226061408" u="1"/>
        <s v="424633574826061408" u="1"/>
        <s v="424633574726061408" u="1"/>
        <s v="424573792106061408" u="1"/>
        <s v="427322087106061408" u="1"/>
        <s v="427314165426061408" u="1"/>
        <s v="424104575606061408" u="1"/>
        <s v="427230635926061408" u="1"/>
        <s v="424705257926061408" u="1"/>
        <s v="429107550426061408" u="1"/>
        <s v="424737178126061408" u="1"/>
        <s v="429103593226061408" u="1"/>
        <s v="429195228026061408" u="1"/>
        <s v="427294244606061408" u="1"/>
        <s v="424104619526061408" u="1"/>
        <s v="424104575726061408" u="1"/>
        <s v="427318195426061408" u="1"/>
        <s v="424653563526061408" u="1"/>
        <s v="429111696926061408" u="1"/>
        <s v="429171390626061408" u="1"/>
        <s v="424104640926061408" u="1"/>
        <s v="427234668526061408" u="1"/>
        <s v="424629664826061408" u="1"/>
        <s v="429107675026061408" u="1"/>
        <s v="424184226826061408" u="1"/>
        <s v="424625781026061408" u="1"/>
        <s v="424705341206061408" u="1"/>
        <s v="427322238126061408" u="1"/>
        <s v="429107675226061408" u="1"/>
        <s v="427330169826061408" u="1"/>
        <s v="427294279226061408" u="1"/>
        <s v="429091668326061408" u="1"/>
        <s v="429091692326061408" u="1"/>
        <s v="429111668826061408" u="1"/>
        <s v="429175377826061408" u="1"/>
        <s v="429171390526061408" u="1"/>
        <s v="429195309126061408" u="1"/>
        <s v="429107675126061408" u="1"/>
        <s v="429111668706061408" u="1"/>
        <s v="427222660126061408" u="1"/>
        <s v="429103747826061408" u="1"/>
        <s v="429171390726061408" u="1"/>
        <s v="427322238226061408" u="1"/>
        <s v="429075971826061408" u="1"/>
        <s v="424701434626061408" u="1"/>
        <s v="424629765726061408" u="1"/>
        <s v="424164289826061408" u="1"/>
        <s v="424184226726061408" u="1"/>
        <s v="429111697026061408" u="1"/>
        <s v="424116498126061408" u="1"/>
        <s v="427266670826061408" u="1"/>
        <s v="427302318626061408" u="1"/>
        <s v="424116498026061408" u="1"/>
        <s v="427222660226061408" u="1"/>
        <s v="429095779426061408" u="1"/>
        <s v="429095779526061408" u="1"/>
        <s v="427254732126061408" u="1"/>
        <s v="424629765826061408" u="1"/>
        <s v="424657748506061408" u="1"/>
        <s v="429079861406061408" u="1"/>
        <s v="424629805006061408" u="1"/>
        <s v="424701434526061408" u="1"/>
        <s v="427266670726061408" u="1"/>
        <s v="424657748326061408" u="1"/>
        <s v="424737348726061408" u="1"/>
        <s v="427314317126061408" u="1"/>
        <s v="424629804826061408" u="1"/>
        <s v="429195400826061408" u="1"/>
        <s v="427226834826061408" u="1"/>
        <s v="427226834926061408" u="1"/>
        <s v="429175469626061408" u="1"/>
        <s v="427226863426061408" u="1"/>
        <s v="424100882926061408" u="1"/>
        <s v="427234837926061408" u="1"/>
        <s v="429091802326061408" u="1"/>
        <s v="427218894526061408" u="1"/>
        <s v="424629805126061408" u="1"/>
        <s v="424661722526061408" u="1"/>
        <s v="429123757626061408" u="1"/>
        <s v="424629804926061408" u="1"/>
        <s v="424657748426061408" u="1"/>
        <s v="427218894406061408" u="1"/>
        <s v="424705444726061408" u="1"/>
        <s v="424737348626061408" u="1"/>
        <s v="424705444626061408" u="1"/>
        <s v="424100882826061408" u="1"/>
        <s v="424148567626061408" u="1"/>
        <s v="424168432726061408" u="1"/>
        <s v="429079861526061408" u="1"/>
        <s v="424192343306061408" u="1"/>
        <s v="429123757526061408" u="1"/>
        <s v="427226863326061408" u="1"/>
        <s v="427246841026061408" u="1"/>
        <s v="424637869106061408" u="1"/>
        <s v="427254871126061408" u="1"/>
        <s v="427230939626061408" u="1"/>
        <s v="429199516826061408" u="1"/>
        <s v="424164438226061408" u="1"/>
        <s v="424192343226061408" u="1"/>
        <s v="427226863226061408" u="1"/>
        <s v="424629894626061408" u="1"/>
        <s v="429087918926061408" u="1"/>
        <s v="424148582926061408" u="1"/>
        <s v="427254871026061408" u="1"/>
        <s v="427218894326061408" u="1"/>
        <s v="424192343126061408" u="1"/>
        <s v="429087919026061408" u="1"/>
        <s v="424705562326061408" u="1"/>
        <s v="424757261726061408" u="1"/>
        <s v="429079931226061408" u="1"/>
        <s v="427302526526061408" u="1"/>
        <s v="424629894526061408" u="1"/>
        <s v="424705544426061408" u="1"/>
        <s v="424192343026061408" u="1"/>
        <s v="429079931426061408" u="1"/>
        <s v="427218992526061408" u="1"/>
        <s v="424705544326061408" u="1"/>
        <s v="424192343426061408" u="1"/>
        <s v="424613915726061408" u="1"/>
        <s v="424705528326061408" u="1"/>
        <s v="429087919126061408" u="1"/>
        <s v="429079931326061408" u="1"/>
        <s v="429091920826061408" u="1"/>
        <s v="427314437326061408" u="1"/>
        <s v="427302526326061408" u="1"/>
        <s v="429115888926061408" u="1"/>
        <s v="427218992626061408" u="1"/>
        <s v="424148582826061408" u="1"/>
        <s v="427230939526061408" u="1"/>
        <s v="424705528426061408" u="1"/>
        <s v="424705592326061408" u="1"/>
        <s v="424705607326061408" u="1"/>
        <s v="424705607526061408" u="1"/>
        <s v="427230939706061408" u="1"/>
        <s v="429115888826061408" u="1"/>
        <s v="427302526426061408" u="1"/>
        <s v="424705607406061408" u="1"/>
        <s v="429091920926061408" u="1"/>
        <s v="429091921026061408" u="1"/>
        <s v="424184476526061408" u="1"/>
        <s v="427322457826061408" u="1"/>
        <s v="424841018426061408" u="1"/>
        <s v="429283126926061408" u="1"/>
        <s v="424841018526061408" u="1"/>
        <s v="427302526226061408" u="1"/>
        <s v="424192412726061408" u="1"/>
        <s v="427218992426061408" u="1"/>
        <s v="424144642126061408" u="1"/>
        <s v="427302526626061408" u="1"/>
        <s v="424653906826061408" u="1"/>
        <s v="429283126826061408" u="1"/>
        <s v="424296050226061408" u="1"/>
        <s v="429199617326061408" u="1"/>
        <s v="424705592426061408" u="1"/>
        <s v="427322524026061408" u="1"/>
        <s v="424841018626061408" u="1"/>
        <s v="424144642026061408" u="1"/>
        <s v="429123924726061408" u="1"/>
        <s v="429199617226061408" u="1"/>
        <s v="427322523926061408" u="1"/>
        <s v="429123965926061408" u="1"/>
        <s v="429123924606061408" u="1"/>
        <s v="427438046726061408" u="1"/>
        <s v="429123965726061408" u="1"/>
        <s v="429123932626061408" u="1"/>
        <s v="429199617426061408" u="1"/>
        <s v="424701649226061408" u="1"/>
        <s v="429123965626061408" u="1"/>
        <s v="429123932726061408" u="1"/>
        <s v="424108983326061408" u="1"/>
        <s v="427438046526061408" u="1"/>
        <s v="424737581626061408" u="1"/>
        <s v="429123965826061408" u="1"/>
        <s v="424120795826061408" u="1"/>
        <s v="424869014326061408" u="1"/>
        <s v="424120796126061408" u="1"/>
        <s v="424705703826061408" u="1"/>
        <s v="424308088926061408" u="1"/>
        <s v="424857009526061408" u="1"/>
        <s v="424296063626061408" u="1"/>
        <s v="424689741106061408" u="1"/>
        <s v="424296063726061408" u="1"/>
        <s v="424845101926061408" u="1"/>
        <s v="424296063826061408" u="1"/>
        <s v="427450050726061408" u="1"/>
        <s v="424701728826061408" u="1"/>
        <s v="424120796026061408" u="1"/>
        <s v="429231484026061408" u="1"/>
        <s v="424881033226061408" u="1"/>
        <s v="424869014426061408" u="1"/>
        <s v="424881033126061408" u="1"/>
        <s v="424164648826061408" u="1"/>
        <s v="424845102026061408" u="1"/>
        <s v="424689757626061408" u="1"/>
        <s v="429331136026061408" u="1"/>
        <s v="424164642926061408" u="1"/>
        <s v="429331136226061408" u="1"/>
        <s v="424845101826061408" u="1"/>
        <s v="424164648626061408" u="1"/>
        <s v="424108983426061408" u="1"/>
        <s v="429231484126061408" u="1"/>
        <s v="424869014526061408" u="1"/>
        <s v="424689740926061408" u="1"/>
        <s v="424164648726061408" u="1"/>
        <s v="424120795926061408" u="1"/>
        <s v="424701728726061408" u="1"/>
        <s v="424701728926061408" u="1"/>
        <s v="427450050826061408" u="1"/>
        <s v="424737581426061408" u="1"/>
        <s v="427438046626061408" u="1"/>
        <s v="424689741026061408" u="1"/>
        <s v="424108983526061408" u="1"/>
        <s v="429331136126061408" u="1"/>
        <s v="427450050926061408" u="1"/>
        <s v="424737581506061408" u="1"/>
        <s v="429355099826061408" u="1"/>
        <s v="424164643006061408" u="1"/>
        <s v="424168682526061408" u="1"/>
        <s v="427306704826061408" u="1"/>
        <s v="429323217726061408" u="1"/>
        <s v="424308088826061408" u="1"/>
        <s v="427306704906061408" u="1"/>
        <s v="427442081926061408" u="1"/>
        <s v="424689757426061408" u="1"/>
        <s v="424164648926061408" u="1"/>
        <s v="424168700426061408" u="1"/>
        <s v="424120882026061408" u="1"/>
        <s v="424689757526061408" u="1"/>
        <s v="429323217526061408" u="1"/>
        <s v="429219650826061408" u="1"/>
        <s v="427306705026061408" u="1"/>
        <s v="429323236026061408" u="1"/>
        <s v="429323217826061408" u="1"/>
        <s v="429323236126061408" u="1"/>
        <s v="429219685226061408" u="1"/>
        <s v="424168700626061408" u="1"/>
        <s v="429199781526061408" u="1"/>
        <s v="429219685026061408" u="1"/>
        <s v="424168700706061408" u="1"/>
        <s v="429323217606061408" u="1"/>
        <s v="427310683026061408" u="1"/>
        <s v="424296247726061408" u="1"/>
        <s v="424116928426061408" u="1"/>
        <s v="429199781606061408" u="1"/>
        <s v="427310682926061408" u="1"/>
        <s v="427222981926061408" u="1"/>
        <s v="429219685126061408" u="1"/>
        <s v="424116928326061408" u="1"/>
        <s v="424116928526061408" u="1"/>
        <s v="424168682626061408" u="1"/>
        <s v="424168700526061408" u="1"/>
        <s v="424120936826061408" u="1"/>
        <s v="427310682826061408" u="1"/>
        <s v="424849199026061408" u="1"/>
        <s v="429219650926061408" u="1"/>
        <s v="424116928626061408" u="1"/>
        <s v="429323217926061408" u="1"/>
        <s v="429199781326061408" u="1"/>
        <s v="424304266826061408" u="1"/>
        <s v="424304255826061408" u="1"/>
        <s v="429219650526061408" u="1"/>
        <s v="429219650726061408" u="1"/>
        <s v="429199781426061408" u="1"/>
        <s v="424701854226061408" u="1"/>
        <s v="424304267026061408" u="1"/>
        <s v="429323236226061408" u="1"/>
        <s v="429355175626061408" u="1"/>
        <s v="424701854026061408" u="1"/>
        <s v="429219651026061408" u="1"/>
        <s v="429323280126061408" u="1"/>
        <s v="429219650626061408" u="1"/>
        <s v="427318756306061408" u="1"/>
        <s v="424701854106061408" u="1"/>
        <s v="429335253726061408" u="1"/>
        <s v="424849198926061408" u="1"/>
        <s v="424168773226061408" u="1"/>
        <s v="429199837606061408" u="1"/>
        <s v="424304267126061408" u="1"/>
        <s v="424296248026061408" u="1"/>
        <s v="427318756126061408" u="1"/>
        <s v="424296247926061408" u="1"/>
        <s v="429231653026061408" u="1"/>
        <s v="424148880126061408" u="1"/>
        <s v="424296247826061408" u="1"/>
        <s v="424304255926061408" u="1"/>
        <s v="424689909926061408" u="1"/>
        <s v="427310783826061408" u="1"/>
        <s v="429323279926061408" u="1"/>
        <s v="429231653126061408" u="1"/>
        <s v="429323280026061408" u="1"/>
        <s v="424148879926061408" u="1"/>
        <s v="429335253626061408" u="1"/>
        <s v="424304266926061408" u="1"/>
        <s v="424689909726061408" u="1"/>
        <s v="429231652926061408" u="1"/>
        <s v="429231652826061408" u="1"/>
        <s v="429199837726061408" u="1"/>
        <s v="429199837806061408" u="1"/>
        <s v="429335253826061408" u="1"/>
        <s v="424304255726061408" u="1"/>
        <s v="429323341426061408" u="1"/>
        <s v="424148880026061408" u="1"/>
        <s v="427314780726061408" u="1"/>
        <s v="429199837526061408" u="1"/>
        <s v="424689910026061408" u="1"/>
        <s v="424168866926061408" u="1"/>
        <s v="424168866726061408" u="1"/>
        <s v="429231653226061408" u="1"/>
        <s v="429323341326061408" u="1"/>
        <s v="424689909826061408" u="1"/>
        <s v="427442270426061408" u="1"/>
        <s v="424869297326061408" u="1"/>
        <s v="429323375826061408" u="1"/>
        <s v="429323341526061408" u="1"/>
        <s v="424168871826061408" u="1"/>
        <s v="424845322826061408" u="1"/>
        <s v="427318756226061408" u="1"/>
        <s v="427318756026061408" u="1"/>
        <s v="429331314726061408" u="1"/>
        <s v="424184766726061408" u="1"/>
        <s v="427310783926061408" u="1"/>
        <s v="424168871926061408" u="1"/>
        <s v="429331314826061408" u="1"/>
        <s v="427326814026061408" u="1"/>
        <s v="424689910126061408" u="1"/>
        <s v="429323412126061408" u="1"/>
        <s v="424296327126061408" u="1"/>
        <s v="424853307126061408" u="1"/>
        <s v="429323341626061408" u="1"/>
        <s v="424853307226061408" u="1"/>
        <s v="424869297126061408" u="1"/>
        <s v="424296327226061408" u="1"/>
        <s v="424168866806061408" u="1"/>
        <s v="427458297626061408" u="1"/>
        <s v="427318852326061408" u="1"/>
        <s v="424869297426061408" u="1"/>
        <s v="424845322726061408" u="1"/>
        <s v="429431043426061408" u="1"/>
        <s v="424184766806061408" u="1"/>
        <s v="429395064226061408" u="1"/>
        <s v="427306931726061408" u="1"/>
        <s v="429323375926061408" u="1"/>
        <s v="429199939926061408" u="1"/>
        <s v="429283506326061408" u="1"/>
        <s v="427446370626061408" u="1"/>
        <s v="427306931926061408" u="1"/>
        <s v="429199940126061408" u="1"/>
        <s v="427326813906061408" u="1"/>
        <s v="429283506226061408" u="1"/>
        <s v="424757758906061408" u="1"/>
        <s v="427306932126061408" u="1"/>
        <s v="424913001126061408" u="1"/>
        <s v="427458297526061408" u="1"/>
        <s v="424869297226061408" u="1"/>
        <s v="427446370726061408" u="1"/>
        <s v="429199940226061408" u="1"/>
        <s v="429431043626061408" u="1"/>
        <s v="427294939226061408" u="1"/>
        <s v="427446370826061408" u="1"/>
        <s v="427446380726061408" u="1"/>
        <s v="429379264926061408" u="1"/>
        <s v="424901117426061408" u="1"/>
        <s v="424853422926061408" u="1"/>
        <s v="429323411826061408" u="1"/>
        <s v="427446370526061408" u="1"/>
        <s v="429431043526061408" u="1"/>
        <s v="427306932026061408" u="1"/>
        <s v="429323411926061408" u="1"/>
        <s v="429323412026061408" u="1"/>
        <s v="427306931826061408" u="1"/>
        <s v="427302990126061408" u="1"/>
        <s v="424757759026061408" u="1"/>
        <s v="429199940026061408" u="1"/>
        <s v="424913001226061408" u="1"/>
        <s v="424913001026061408" u="1"/>
        <s v="424901117626061408" u="1"/>
        <s v="424853422626061408" u="1"/>
        <s v="427446380826061408" u="1"/>
        <s v="427294939326061408" u="1"/>
        <s v="424853422826061408" u="1"/>
        <s v="427442425826061408" u="1"/>
        <s v="427442425926061408" u="1"/>
        <s v="429367423526061408" u="1"/>
        <s v="424901117526061408" u="1"/>
        <s v="424853423026061408" u="1"/>
        <s v="427318946526061408" u="1"/>
        <s v="429419171226061408" u="1"/>
        <s v="424757833026061408" u="1"/>
        <s v="424861378526061408" u="1"/>
        <s v="427302990226061408" u="1"/>
        <s v="427442425626061408" u="1"/>
        <s v="427302990026061408" u="1"/>
        <s v="429343467726061408" u="1"/>
        <s v="427542068926061408" u="1"/>
        <s v="424917059526061408" u="1"/>
        <s v="424757833126061408" u="1"/>
        <s v="424877400026061408" u="1"/>
        <s v="424853422726061408" u="1"/>
        <s v="429343468026061408" u="1"/>
        <s v="424917059326061408" u="1"/>
        <s v="424877361826061408" u="1"/>
        <s v="424873444126061408" u="1"/>
        <s v="424757832926061408" u="1"/>
        <s v="424869433326061408" u="1"/>
        <s v="424917059426061408" u="1"/>
        <s v="424757833226061408" u="1"/>
        <s v="424869433426061408" u="1"/>
        <s v="429343467826061408" u="1"/>
        <s v="429343467926061408" u="1"/>
        <s v="429347452126061408" u="1"/>
        <s v="427318946426061408" u="1"/>
        <s v="427442425726061408" u="1"/>
        <s v="429219943026061408" u="1"/>
        <s v="427542108926061408" u="1"/>
        <s v="424861510426061408" u="1"/>
        <s v="429347452026061408" u="1"/>
        <s v="429223982326061408" u="1"/>
        <s v="424288548226061408" u="1"/>
        <s v="424877400126061408" u="1"/>
        <s v="429347452226061408" u="1"/>
        <s v="429367433226061408" u="1"/>
        <s v="427446510926061408" u="1"/>
        <s v="429347452326061408" u="1"/>
        <s v="429367423626061408" u="1"/>
        <s v="427542068626061408" u="1"/>
        <s v="427542068826061408" u="1"/>
        <s v="429327533926061408" u="1"/>
        <s v="424877400226061408" u="1"/>
        <s v="429327533826061408" u="1"/>
        <s v="427318946326061408" u="1"/>
        <s v="429331525126061408" u="1"/>
        <s v="429343538726061408" u="1"/>
        <s v="424404030226061408" u="1"/>
        <s v="427438518626061408" u="1"/>
        <s v="429459083926061408" u="1"/>
        <s v="429219942926061408" u="1"/>
        <s v="424861510226061408" u="1"/>
        <s v="429331525026061408" u="1"/>
        <s v="429223982226061408" u="1"/>
        <s v="424869433226061408" u="1"/>
        <s v="427542100426061408" u="1"/>
        <s v="427542100626061408" u="1"/>
        <s v="429395248806061408" u="1"/>
        <s v="424288548126061408" u="1"/>
        <s v="427542068726061408" u="1"/>
        <s v="429395248926061408" u="1"/>
        <s v="429387468326061408" u="1"/>
        <s v="424861510326061408" u="1"/>
        <s v="424861510526061408" u="1"/>
        <s v="424845542426061408" u="1"/>
        <s v="429459083806061408" u="1"/>
        <s v="424845542226061408" u="1"/>
        <s v="429327583626061408" u="1"/>
        <s v="429395249026061408" u="1"/>
        <s v="424873444026061408" u="1"/>
        <s v="424845542326061408" u="1"/>
        <s v="424873444226061408" u="1"/>
        <s v="424292612806061408" u="1"/>
        <s v="429343538826061408" u="1"/>
        <s v="424292612706061408" u="1"/>
        <s v="427438518726061408" u="1"/>
        <s v="427438518926061408" u="1"/>
        <s v="429327534026061408" u="1"/>
        <s v="427446510826061408" u="1"/>
        <s v="429387468226061408" u="1"/>
        <s v="424853588226061408" u="1"/>
        <s v="427542100526061408" u="1"/>
        <s v="427446510726061408" u="1"/>
        <s v="429327583326061408" u="1"/>
        <s v="427438519026061408" u="1"/>
        <s v="429459084026061408" u="1"/>
        <s v="429435209826061408" u="1"/>
        <s v="424264560626061408" u="1"/>
        <s v="427438577826061408" u="1"/>
        <s v="427438518826061408" u="1"/>
        <s v="424921147726061408" u="1"/>
        <s v="424308622426061408" u="1"/>
        <s v="424925068626061408" u="1"/>
        <s v="429327583526061408" u="1"/>
        <s v="424921147426061408" u="1"/>
        <s v="429431278226061408" u="1"/>
        <s v="424428027426061408" u="1"/>
        <s v="424400099526061408" u="1"/>
        <s v="424264560526061408" u="1"/>
        <s v="424292612626061408" u="1"/>
        <s v="424428027506061408" u="1"/>
        <s v="424921185226061408" u="1"/>
        <s v="424929098026061408" u="1"/>
        <s v="429367556926061408" u="1"/>
        <s v="429447268126061408" u="1"/>
        <s v="429327583426061408" u="1"/>
        <s v="424388164726061408" u="1"/>
        <s v="424925068926061408" u="1"/>
        <s v="429327583206061408" u="1"/>
        <s v="429367557026061408" u="1"/>
        <s v="424921185426061408" u="1"/>
        <s v="424388164826061408" u="1"/>
        <s v="424296680326061408" u="1"/>
        <s v="424388164526061408" u="1"/>
        <s v="424853588326061408" u="1"/>
        <s v="424388164626061408" u="1"/>
        <s v="424925068826061408" u="1"/>
        <s v="424400099626061408" u="1"/>
        <s v="427438577726061408" u="1"/>
        <s v="427474530726061408" u="1"/>
        <s v="424925068726061408" u="1"/>
        <s v="424296680526061408" u="1"/>
        <s v="429379523726061408" u="1"/>
        <s v="424881603526061408" u="1"/>
        <s v="424921147626061408" u="1"/>
        <s v="429367556826061408" u="1"/>
        <s v="429379523526061408" u="1"/>
        <s v="429435288126061408" u="1"/>
        <s v="427458596526061408" u="1"/>
        <s v="427458596426061408" u="1"/>
        <s v="427474530906061408" u="1"/>
        <s v="427470578926061408" u="1"/>
        <s v="424929098126061408" u="1"/>
        <s v="427470578826061408" u="1"/>
        <s v="427474530826061408" u="1"/>
        <s v="424408081626061408" u="1"/>
        <s v="424921147526061408" u="1"/>
        <s v="424308622126061408" u="1"/>
        <s v="429379523626061408" u="1"/>
        <s v="429431278126061408" u="1"/>
        <s v="427470579026061408" u="1"/>
        <s v="424296721326061408" u="1"/>
        <s v="424296680426061408" u="1"/>
        <s v="424921185326061408" u="1"/>
        <s v="427458596326061408" u="1"/>
        <s v="424308622326061408" u="1"/>
        <s v="427458596606061408" u="1"/>
        <s v="424881603426061408" u="1"/>
        <s v="427474530526061408" u="1"/>
        <s v="427470578726061408" u="1"/>
        <s v="424881603326061408" u="1"/>
        <s v="427474530626061408" u="1"/>
        <s v="424428027626061408" u="1"/>
        <s v="427474530426061408" u="1"/>
        <s v="424873623126061408" u="1"/>
        <s v="424929097926061408" u="1"/>
        <s v="429379523826061408" u="1"/>
        <s v="424308622226061408" u="1"/>
        <s v="424288694526061408" u="1"/>
        <s v="424400156806061408" u="1"/>
        <s v="429435288226061408" u="1"/>
        <s v="429447268026061408" u="1"/>
        <s v="429435288326061408" u="1"/>
        <s v="424849665326061408" u="1"/>
        <s v="424873623026061408" u="1"/>
        <s v="424853722326061408" u="1"/>
        <s v="424288694426061408" u="1"/>
        <s v="424913342526061408" u="1"/>
        <s v="427458596226061408" u="1"/>
        <s v="424913342626061408" u="1"/>
        <s v="427458630926061408" u="1"/>
        <s v="429435350526061408" u="1"/>
        <s v="429463226126061408" u="1"/>
        <s v="424917362306061408" u="1"/>
        <s v="424292736226061408" u="1"/>
        <s v="424296721226061408" u="1"/>
        <s v="427458631106061408" u="1"/>
        <s v="424292736026061408" u="1"/>
        <s v="424957123826061408" u="1"/>
        <s v="424861688626061408" u="1"/>
        <s v="424292779626061408" u="1"/>
        <s v="424292779726061408" u="1"/>
        <s v="429487123926061408" u="1"/>
        <s v="429379622626061408" u="1"/>
        <s v="424873623226061408" u="1"/>
        <s v="424873622926061408" u="1"/>
        <s v="429339727826061408" u="1"/>
        <s v="424861688726061408" u="1"/>
        <s v="424905388726061408" u="1"/>
        <s v="424388250926061408" u="1"/>
        <s v="429487123726061408" u="1"/>
        <s v="424288786826061408" u="1"/>
        <s v="424292736126061408" u="1"/>
        <s v="427546298926061408" u="1"/>
        <s v="424917362426061408" u="1"/>
        <s v="429379622726061408" u="1"/>
        <s v="424957118526061408" u="1"/>
        <s v="429419482626061408" u="1"/>
        <s v="424292837726061408" u="1"/>
        <s v="424849665226061408" u="1"/>
        <s v="427558183926061408" u="1"/>
        <s v="427458631026061408" u="1"/>
        <s v="424861688806061408" u="1"/>
        <s v="424849750226061408" u="1"/>
        <s v="424288787026061408" u="1"/>
        <s v="424388250826061408" u="1"/>
        <s v="424857724326061408" u="1"/>
        <s v="429463268426061408" u="1"/>
        <s v="429347770526061408" u="1"/>
        <s v="429463268726061408" u="1"/>
        <s v="424865727626061408" u="1"/>
        <s v="429379622526061408" u="1"/>
        <s v="424857724226061408" u="1"/>
        <s v="429487123826061408" u="1"/>
        <s v="424308792626061408" u="1"/>
        <s v="424853722226061408" u="1"/>
        <s v="429463226226061408" u="1"/>
        <s v="429463268626061408" u="1"/>
        <s v="429347760706061408" u="1"/>
        <s v="427558184126061408" u="1"/>
        <s v="429487136326061408" u="1"/>
        <s v="429487136426061408" u="1"/>
        <s v="424308792726061408" u="1"/>
        <s v="424288786926061408" u="1"/>
        <s v="424849750326061408" u="1"/>
        <s v="424857724126061408" u="1"/>
        <s v="429439423826061408" u="1"/>
        <s v="424861790126061408" u="1"/>
        <s v="424941219506061408" u="1"/>
        <s v="427558184006061408" u="1"/>
        <s v="429419482826061408" u="1"/>
        <s v="424376324926061408" u="1"/>
        <s v="429419482726061408" u="1"/>
        <s v="424292837526061408" u="1"/>
        <s v="424905510526061408" u="1"/>
        <s v="424917362506061408" u="1"/>
        <s v="424376324826061408" u="1"/>
        <s v="424865727526061408" u="1"/>
        <s v="429347770426061408" u="1"/>
        <s v="429419574026061408" u="1"/>
        <s v="427442753106061408" u="1"/>
        <s v="424941219426061408" u="1"/>
        <s v="429347770626061408" u="1"/>
        <s v="429463268526061408" u="1"/>
        <s v="427442753226061408" u="1"/>
        <s v="429419573926061408" u="1"/>
        <s v="424877778926061408" u="1"/>
        <s v="424877778826061408" u="1"/>
        <s v="429343869726061408" u="1"/>
        <s v="424905510626061408" u="1"/>
        <s v="429387750726061408" u="1"/>
        <s v="429431495226061408" u="1"/>
        <s v="424941320926061408" u="1"/>
        <s v="424292837626061408" u="1"/>
        <s v="424917416826061408" u="1"/>
        <s v="424869775326061408" u="1"/>
        <s v="424877779026061408" u="1"/>
        <s v="429367772026061408" u="1"/>
        <s v="429367771826061408" u="1"/>
        <s v="429379690626061408" u="1"/>
        <s v="424388346026061408" u="1"/>
        <s v="429323836226061408" u="1"/>
        <s v="429447440826061408" u="1"/>
        <s v="424861790026061408" u="1"/>
        <s v="424296895326061408" u="1"/>
        <s v="429323836326061408" u="1"/>
        <s v="429379690526061408" u="1"/>
        <s v="429343869826061408" u="1"/>
        <s v="424917479326061408" u="1"/>
        <s v="429431495026061408" u="1"/>
        <s v="429387735826061408" u="1"/>
        <s v="427438837626061408" u="1"/>
        <s v="429419574126061408" u="1"/>
        <s v="424873787526061408" u="1"/>
        <s v="424288918326061408" u="1"/>
        <s v="424428272526061408" u="1"/>
        <s v="424921432326061408" u="1"/>
        <s v="429367771926061408" u="1"/>
        <s v="429387735726061408" u="1"/>
        <s v="429379690726061408" u="1"/>
        <s v="424869775526061408" u="1"/>
        <s v="424861789926061408" u="1"/>
        <s v="424404302826061408" u="1"/>
        <s v="429431495126061408" u="1"/>
        <s v="429331883526061408" u="1"/>
        <s v="424861803626061408" u="1"/>
        <s v="429387735926061408" u="1"/>
        <s v="424921432526061408" u="1"/>
        <s v="424869775426061408" u="1"/>
        <s v="429459433126061408" u="1"/>
        <s v="424849854926061408" u="1"/>
        <s v="429447510626061408" u="1"/>
        <s v="429447510426061408" u="1"/>
        <s v="424917479426061408" u="1"/>
        <s v="429447510726061408" u="1"/>
        <s v="424873822426061408" u="1"/>
        <s v="424845917226061408" u="1"/>
        <s v="424929376606061408" u="1"/>
        <s v="424264795026061408" u="1"/>
        <s v="429343869626061408" u="1"/>
        <s v="429459433026061408" u="1"/>
        <s v="429323967726061408" u="1"/>
        <s v="424929427026061408" u="1"/>
        <s v="429339911426061408" u="1"/>
        <s v="424264842026061408" u="1"/>
        <s v="429323967826061408" u="1"/>
        <s v="424296915126061408" u="1"/>
        <s v="424929376726061408" u="1"/>
        <s v="424845993326061408" u="1"/>
        <s v="424873822326061408" u="1"/>
        <s v="424941321026061408" u="1"/>
        <s v="427442879226061408" u="1"/>
        <s v="427474875226061408" u="1"/>
        <s v="424921432426061408" u="1"/>
        <s v="429447510526061408" u="1"/>
        <s v="424845970826061408" u="1"/>
        <s v="429459432926061408" u="1"/>
        <s v="424921424026061408" u="1"/>
        <s v="429375814026061408" u="1"/>
        <s v="424845970926061408" u="1"/>
        <s v="424845917326061408" u="1"/>
        <s v="429463427626061408" u="1"/>
        <s v="424881849906061408" u="1"/>
        <s v="429339911526061408" u="1"/>
        <s v="424264857726061408" u="1"/>
        <s v="427450929926061408" u="1"/>
        <s v="427458914726061408" u="1"/>
        <s v="424264880726061408" u="1"/>
        <s v="429375813926061408" u="1"/>
        <s v="429451522926061408" u="1"/>
        <s v="424929414926061408" u="1"/>
        <s v="424917532226061408" u="1"/>
        <s v="424929427126061408" u="1"/>
        <s v="427442879126061408" u="1"/>
        <s v="429551002826061408" u="1"/>
        <s v="424264857626061408" u="1"/>
        <s v="429335989026061408" u="1"/>
        <s v="429335989226061408" u="1"/>
        <s v="427458914926061408" u="1"/>
        <s v="424464032726061408" u="1"/>
        <s v="429331991526061408" u="1"/>
        <s v="424845970726061408" u="1"/>
        <s v="424857938626061408" u="1"/>
        <s v="427458914826061408" u="1"/>
        <s v="424428372926061408" u="1"/>
        <s v="429463517326061408" u="1"/>
        <s v="429459486926061408" u="1"/>
        <s v="427558439406061408" u="1"/>
        <s v="424845993126061408" u="1"/>
        <s v="429331991426061408" u="1"/>
        <s v="429547050026061408" u="1"/>
        <s v="424917554406061408" u="1"/>
        <s v="424857965526061408" u="1"/>
        <s v="424849935626061408" u="1"/>
        <s v="424428373026061408" u="1"/>
        <s v="427450929826061408" u="1"/>
        <s v="424264880926061408" u="1"/>
        <s v="424845993226061408" u="1"/>
        <s v="427558439526061408" u="1"/>
        <s v="424853962826061408" u="1"/>
        <s v="424336824426061408" u="1"/>
        <s v="429375956726061408" u="1"/>
        <s v="424380575426061408" u="1"/>
        <s v="424849935726061408" u="1"/>
        <s v="429435668526061408" u="1"/>
        <s v="424428372826061408" u="1"/>
        <s v="424869913126061408" u="1"/>
        <s v="427450930026061408" u="1"/>
        <s v="427534614926061408" u="1"/>
        <s v="424464032806061408" u="1"/>
        <s v="424264880826061408" u="1"/>
        <s v="429551002726061408" u="1"/>
        <s v="427642007726061408" u="1"/>
        <s v="424388570826061408" u="1"/>
        <s v="424336824506061408" u="1"/>
        <s v="429551026726061408" u="1"/>
        <s v="429335992026061408" u="1"/>
        <s v="429463554526061408" u="1"/>
        <s v="424853962726061408" u="1"/>
        <s v="424853962626061408" u="1"/>
        <s v="424264880626061408" u="1"/>
        <s v="429547049926061408" u="1"/>
        <s v="427546601126061408" u="1"/>
        <s v="429551002926061408" u="1"/>
        <s v="429451608226061408" u="1"/>
        <s v="429335989126061408" u="1"/>
        <s v="427638047226061408" u="1"/>
        <s v="429387953526061408" u="1"/>
        <s v="424861981726061408" u="1"/>
        <s v="427630041026061408" u="1"/>
        <s v="429547049826061408" u="1"/>
        <s v="427630041126061408" u="1"/>
        <s v="429435698926061408" u="1"/>
        <s v="429439696526061408" u="1"/>
        <s v="429395621426061408" u="1"/>
        <s v="424857985926061408" u="1"/>
        <s v="427534615026061408" u="1"/>
        <s v="429435668426061408" u="1"/>
        <s v="429395676726061408" u="1"/>
        <s v="427458970926061408" u="1"/>
        <s v="424380575326061408" u="1"/>
        <s v="424929541726061408" u="1"/>
        <s v="427558535526061408" u="1"/>
        <s v="429551026626061408" u="1"/>
        <s v="429435698826061408" u="1"/>
        <s v="424917649826061408" u="1"/>
        <s v="427470965926061408" u="1"/>
        <s v="429395676926061408" u="1"/>
        <s v="429375956626061408" u="1"/>
        <s v="424941510326061408" u="1"/>
        <s v="429395676626061408" u="1"/>
        <s v="424905774626061408" u="1"/>
        <s v="427630041226061408" u="1"/>
        <s v="429563004226061408" u="1"/>
        <s v="427458970826061408" u="1"/>
        <s v="429559023226061408" u="1"/>
        <s v="429559023326061408" u="1"/>
        <s v="424929541626061408" u="1"/>
        <s v="429551075226061408" u="1"/>
        <s v="429439696626061408" u="1"/>
        <s v="427470965826061408" u="1"/>
        <s v="424905774726061408" u="1"/>
        <s v="424941510226061408" u="1"/>
        <s v="429375956506061408" u="1"/>
        <s v="429547094926061408" u="1"/>
        <s v="424428524326061408" u="1"/>
        <s v="429563075926061408" u="1"/>
        <s v="424512050326061408" u="1"/>
        <s v="427638047326061408" u="1"/>
        <s v="429395676826061408" u="1"/>
        <s v="427458970726061408" u="1"/>
        <s v="429463554426061408" u="1"/>
        <s v="429463554326061408" u="1"/>
        <s v="427470965726061408" u="1"/>
        <s v="429387953426061408" u="1"/>
        <s v="424941510126061408" u="1"/>
        <s v="429559023126061408" u="1"/>
        <s v="429439696726061408" u="1"/>
        <s v="424428524226061408" u="1"/>
        <s v="427530714106061408" u="1"/>
        <s v="425053062626061408" u="1"/>
        <s v="427542692626061408" u="1"/>
        <s v="424512081626061408" u="1"/>
        <s v="429439696826061408" u="1"/>
        <s v="427546601226061408" u="1"/>
        <s v="427474963326061408" u="1"/>
        <s v="427546601326061408" u="1"/>
        <s v="427646084526061408" u="1"/>
        <s v="424476144026061408" u="1"/>
        <s v="429395676526061408" u="1"/>
        <s v="427646084326061408" u="1"/>
        <s v="427530714026061408" u="1"/>
        <s v="424428524426061408" u="1"/>
        <s v="429563075826061408" u="1"/>
        <s v="424524001926061408" u="1"/>
        <s v="425053062426061408" u="1"/>
        <s v="424336929926061408" u="1"/>
        <s v="427474963226061408" u="1"/>
        <s v="425053062526061408" u="1"/>
        <s v="424921672026061408" u="1"/>
        <s v="427530721726061408" u="1"/>
        <s v="424376640926061408" u="1"/>
        <s v="424492085006061408" u="1"/>
        <s v="427646084426061408" u="1"/>
        <s v="424404630826061408" u="1"/>
        <s v="429563075726061408" u="1"/>
        <s v="425041106626061408" u="1"/>
        <s v="424524076226061408" u="1"/>
        <s v="424512081526061408" u="1"/>
        <s v="424476124526061408" u="1"/>
        <s v="424492084926061408" u="1"/>
        <s v="424376698226061408" u="1"/>
        <s v="429431801026061408" u="1"/>
        <s v="424929618626061408" u="1"/>
        <s v="429451773726061408" u="1"/>
        <s v="424376698426061408" u="1"/>
        <s v="427682034026061408" u="1"/>
        <s v="424492084826061408" u="1"/>
        <s v="424901883626061408" u="1"/>
        <s v="424492084726061408" u="1"/>
        <s v="424921672126061408" u="1"/>
        <s v="424376734626061408" u="1"/>
        <s v="425037171126061408" u="1"/>
        <s v="427542692726061408" u="1"/>
        <s v="424404631026061408" u="1"/>
        <s v="425053078326061408" u="1"/>
        <s v="424524076126061408" u="1"/>
        <s v="425037171226061408" u="1"/>
        <s v="425021242826061408" u="1"/>
        <s v="424929618526061408" u="1"/>
        <s v="427682033926061408" u="1"/>
        <s v="425049158626061408" u="1"/>
        <s v="425021242726061408" u="1"/>
        <s v="424905901506061408" u="1"/>
        <s v="429431800926061408" u="1"/>
        <s v="424921672226061408" u="1"/>
        <s v="425021242926061408" u="1"/>
        <s v="429567192026061408" u="1"/>
        <s v="424404630926061408" u="1"/>
        <s v="424376698326061408" u="1"/>
        <s v="425049158826061408" u="1"/>
        <s v="424492124226061408" u="1"/>
        <s v="424925702626061408" u="1"/>
        <s v="425053117126061408" u="1"/>
        <s v="425021243026061408" u="1"/>
        <s v="424520076726061408" u="1"/>
        <s v="424376734526061408" u="1"/>
        <s v="424376734426061408" u="1"/>
        <s v="424929618726061408" u="1"/>
        <s v="424464262326061408" u="1"/>
        <s v="425029244826061408" u="1"/>
        <s v="425029257626061408" u="1"/>
        <s v="427646198526061408" u="1"/>
        <s v="425037171326061408" u="1"/>
        <s v="424905901626061408" u="1"/>
        <s v="424428622406061408" u="1"/>
        <s v="425049158926061408" u="1"/>
        <s v="424404708806061408" u="1"/>
        <s v="425029257406061408" u="1"/>
        <s v="427590371726061408" u="1"/>
        <s v="424376740106061408" u="1"/>
        <s v="425029244926061408" u="1"/>
        <s v="427682092626061408" u="1"/>
        <s v="429567211226061408" u="1"/>
        <s v="424504188726061408" u="1"/>
        <s v="427646198606061408" u="1"/>
        <s v="427682092706061408" u="1"/>
        <s v="424905901426061408" u="1"/>
        <s v="429567192226061408" u="1"/>
        <s v="424925702726061408" u="1"/>
        <s v="424376740226061408" u="1"/>
        <s v="427682112326061408" u="1"/>
        <s v="425049158726061408" u="1"/>
        <s v="424396698526061408" u="1"/>
        <s v="427682092426061408" u="1"/>
        <s v="424408691626061408" u="1"/>
        <s v="429567192126061408" u="1"/>
        <s v="424492223526061408" u="1"/>
        <s v="424913852726061408" u="1"/>
        <s v="425029257526061408" u="1"/>
        <s v="429567192326061408" u="1"/>
        <s v="429567210826061408" u="1"/>
        <s v="427682092526061408" u="1"/>
        <s v="427534858426061408" u="1"/>
        <s v="424504188526061408" u="1"/>
        <s v="424532132726061408" u="1"/>
        <s v="424532132626061408" u="1"/>
        <s v="424492223226061408" u="1"/>
        <s v="424492223126061408" u="1"/>
        <s v="429567211126061408" u="1"/>
        <s v="427590371626061408" u="1"/>
        <s v="424504188626061408" u="1"/>
        <s v="424492223026061408" u="1"/>
        <s v="429567211026061408" u="1"/>
        <s v="429567210926061408" u="1"/>
        <s v="424532132826061408" u="1"/>
        <s v="424492223326061408" u="1"/>
        <s v="424492223426061408" u="1"/>
        <e v="#N/A" u="1"/>
        <s v="前场合流" u="1"/>
        <s v="后场合流" u="1"/>
        <s v="其他合流" u="1"/>
        <s v="一体化合流" u="1"/>
      </sharedItems>
    </cacheField>
    <cacheField name="批次单号" numFmtId="0">
      <sharedItems/>
    </cacheField>
    <cacheField name="任务子类型" numFmtId="0">
      <sharedItems/>
    </cacheField>
    <cacheField name="所属波次号" numFmtId="0">
      <sharedItems/>
    </cacheField>
    <cacheField name="拣货分区" numFmtId="0">
      <sharedItems/>
    </cacheField>
    <cacheField name="拣货人" numFmtId="0">
      <sharedItems containsBlank="1" count="127">
        <s v="祝馨"/>
        <s v="李消"/>
        <s v="戴恒"/>
        <s v="高娟"/>
        <s v="周凡倢"/>
        <s v="谢向琴"/>
        <s v="朱桂鋆"/>
        <s v="邰心语"/>
        <s v="吴思涵" u="1"/>
        <s v="周楚涵" u="1"/>
        <s v="李营" u="1"/>
        <s v="吴春枝" u="1"/>
        <s v="钱明艳" u="1"/>
        <s v="杨顺琼" u="1"/>
        <s v="沈宗俊" u="1"/>
        <s v="秦付祥" u="1"/>
        <s v="杨金伟" u="1"/>
        <s v="赵菊会" u="1"/>
        <s v="陈佳梅" u="1"/>
        <s v="罗纤慧" u="1"/>
        <s v="段锦涵" u="1"/>
        <s v="张晋杰" u="1"/>
        <s v="孙增昊" u="1"/>
        <s v="杨雅恋" u="1"/>
        <s v="李蓉" u="1"/>
        <s v="段碧莲" u="1"/>
        <s v="丁玥榕" u="1"/>
        <s v="闵福星" u="1"/>
        <s v="刘蕊" u="1"/>
        <s v="唐智耀" u="1"/>
        <s v="朱伟" u="1"/>
        <s v="卢书熠" u="1"/>
        <s v="李金阳" u="1"/>
        <s v="车秀花" u="1"/>
        <s v="孙昀" u="1"/>
        <s v="付政" u="1"/>
        <s v="杨嘉晨" u="1"/>
        <s v="刘令兼" u="1"/>
        <s v="许石钻" u="1"/>
        <s v="徐青" u="1"/>
        <s v="蒋甲国" u="1"/>
        <s v="肖红" u="1"/>
        <s v="惠蝶" u="1"/>
        <s v="卢小燕" u="1"/>
        <s v="张子龙" u="1"/>
        <s v="李思成" u="1"/>
        <s v="李更亮" u="1"/>
        <s v="赵倩" u="1"/>
        <s v="李月媛" u="1"/>
        <s v="张宏" u="1"/>
        <s v="苏艳芬" u="1"/>
        <s v="张兵" u="1"/>
        <s v="倪丙雪" u="1"/>
        <s v="何思伟" u="1"/>
        <s v="李祥" u="1"/>
        <s v="魏开箫" u="1"/>
        <s v="王杰" u="1"/>
        <s v="王庆富" u="1"/>
        <s v="陈佳杰" u="1"/>
        <s v="代基文" u="1"/>
        <s v="罗正峰" u="1"/>
        <s v="陈博" u="1"/>
        <m u="1"/>
        <s v="冯亚丽" u="1"/>
        <s v="聂皓" u="1"/>
        <s v="何桃" u="1"/>
        <s v="赵明" u="1"/>
        <s v="潘放" u="1"/>
        <s v="周雅思" u="1"/>
        <s v="郭嘉勇" u="1"/>
        <s v="邵文杰" u="1"/>
        <s v="牟倩" u="1"/>
        <s v="陈李燕" u="1"/>
        <s v="武洪超" u="1"/>
        <s v="杨滢" u="1"/>
        <s v="李小兰" u="1"/>
        <s v="张娟" u="1"/>
        <s v="张宇衡" u="1"/>
        <s v="代荣华" u="1"/>
        <s v="李启萍" u="1"/>
        <s v="张鹏飞" u="1"/>
        <s v="罗文婷" u="1"/>
        <s v="何冬林" u="1"/>
        <s v="刘岱鑫" u="1"/>
        <s v="冯强" u="1"/>
        <s v="王治勇" u="1"/>
        <s v="陈亚琴" u="1"/>
        <s v="陈晓维" u="1"/>
        <s v="孙应宏" u="1"/>
        <s v="王会棋" u="1"/>
        <s v="李超" u="1"/>
        <s v="陈敏" u="1"/>
        <s v="王田" u="1"/>
        <s v="李香均" u="1"/>
        <s v="罗太敏" u="1"/>
        <s v="孙菘" u="1"/>
        <s v="施渊" u="1"/>
        <s v="刘晓玉" u="1"/>
        <s v="李思慧" u="1"/>
        <s v="嬴旭" u="1"/>
        <s v="蔡灵" u="1"/>
        <s v="邓玲" u="1"/>
        <s v="唐永霞" u="1"/>
        <s v="杨娟" u="1"/>
        <s v="李永欣" u="1"/>
        <s v="李秋艳" u="1"/>
        <s v="陈文杰" u="1"/>
        <s v="唐熙玲" u="1"/>
        <s v="范欢欢" u="1"/>
        <s v="阿鲁莫日良" u="1"/>
        <s v="傅羽婷" u="1"/>
        <s v="张昊林" u="1"/>
        <s v="罗杨" u="1"/>
        <s v="李华伟" u="1"/>
        <s v="秦杭" u="1"/>
        <s v="梁冬梅" u="1"/>
        <s v="邓胜文" u="1"/>
        <s v="李欣雨" u="1"/>
        <s v="范雨" u="1"/>
        <s v="邓月浩" u="1"/>
        <s v="曾馨怡" u="1"/>
        <s v="陈玲玲" u="1"/>
        <s v="龚超" u="1"/>
        <s v="熊森" u="1"/>
        <s v="邹杰" u="1"/>
        <s v="于翠翠" u="1"/>
        <s v="刘泽" u="1"/>
      </sharedItems>
    </cacheField>
    <cacheField name="拣货开始时间" numFmtId="22">
      <sharedItems containsSemiMixedTypes="0" containsNonDate="0" containsDate="1" containsString="0" minDate="2026-07-30T07:01:34" maxDate="2026-07-30T07:45:28"/>
    </cacheField>
    <cacheField name="拣货完成时间" numFmtId="22">
      <sharedItems containsSemiMixedTypes="0" containsNonDate="0" containsDate="1" containsString="0" minDate="2026-07-30T07:02:43" maxDate="2026-07-30T07:45:39"/>
    </cacheField>
    <cacheField name="拣货时长" numFmtId="0">
      <sharedItems containsSemiMixedTypes="0" containsString="0" containsNumber="1" minValue="2.7777777777777775E-3" maxValue="5.1388888888888887E-2"/>
    </cacheField>
    <cacheField name="拣货数量" numFmtId="0">
      <sharedItems containsSemiMixedTypes="0" containsString="0" containsNumber="1" containsInteger="1" minValue="1" maxValue="13"/>
    </cacheField>
    <cacheField name="拣货行数" numFmtId="0">
      <sharedItems containsSemiMixedTypes="0" containsString="0" containsNumber="1" containsInteger="1" minValue="1" maxValue="11"/>
    </cacheField>
    <cacheField name="列1" numFmtId="0">
      <sharedItems/>
    </cacheField>
    <cacheField name="列2" numFmtId="0">
      <sharedItems/>
    </cacheField>
    <cacheField name="列3" numFmtId="0">
      <sharedItems/>
    </cacheField>
    <cacheField name="列4" numFmtId="0">
      <sharedItems/>
    </cacheField>
    <cacheField name="列5" numFmtId="0">
      <sharedItems/>
    </cacheField>
    <cacheField name="列6" numFmtId="0">
      <sharedItems/>
    </cacheField>
    <cacheField name="列7" numFmtId="0">
      <sharedItems containsNonDate="0" containsString="0" containsBlank="1"/>
    </cacheField>
    <cacheField name="列8" numFmtId="0">
      <sharedItems/>
    </cacheField>
    <cacheField name="列9" numFmtId="0">
      <sharedItems/>
    </cacheField>
    <cacheField name="列10" numFmtId="0">
      <sharedItems/>
    </cacheField>
    <cacheField name="列11" numFmtId="0">
      <sharedItems/>
    </cacheField>
    <cacheField name="列12" numFmtId="0">
      <sharedItems containsNonDate="0" containsString="0" containsBlank="1"/>
    </cacheField>
    <cacheField name="列13" numFmtId="0">
      <sharedItems containsNonDate="0" containsString="0" containsBlank="1"/>
    </cacheField>
    <cacheField name="列14" numFmtId="0">
      <sharedItems/>
    </cacheField>
    <cacheField name="列15" numFmtId="0">
      <sharedItems containsNonDate="0" containsString="0" containsBlank="1"/>
    </cacheField>
    <cacheField name="列16" numFmtId="0">
      <sharedItems/>
    </cacheField>
    <cacheField name="列17" numFmtId="0">
      <sharedItems/>
    </cacheField>
    <cacheField name="列18" numFmtId="0">
      <sharedItems/>
    </cacheField>
    <cacheField name="列19" numFmtId="0">
      <sharedItems/>
    </cacheField>
    <cacheField name="列20" numFmtId="0">
      <sharedItems/>
    </cacheField>
    <cacheField name="列21" numFmtId="0">
      <sharedItems/>
    </cacheField>
    <cacheField name="列22" numFmtId="0">
      <sharedItems/>
    </cacheField>
    <cacheField name="列23" numFmtId="0">
      <sharedItems containsNonDate="0" containsString="0" containsBlank="1"/>
    </cacheField>
    <cacheField name="列24" numFmtId="0">
      <sharedItems containsNonDate="0" containsString="0" containsBlank="1"/>
    </cacheField>
    <cacheField name="列25" numFmtId="0">
      <sharedItems containsNonDate="0" containsString="0" containsBlank="1"/>
    </cacheField>
    <cacheField name="列26" numFmtId="0">
      <sharedItems containsNonDate="0" containsString="0" containsBlank="1"/>
    </cacheField>
    <cacheField name="列27" numFmtId="0">
      <sharedItems/>
    </cacheField>
    <cacheField name="列28" numFmtId="0">
      <sharedItems/>
    </cacheField>
    <cacheField name="列29" numFmtId="0">
      <sharedItems/>
    </cacheField>
    <cacheField name="列30" numFmtId="0">
      <sharedItems containsNonDate="0" containsString="0" containsBlank="1"/>
    </cacheField>
    <cacheField name="列31" numFmtId="0">
      <sharedItems/>
    </cacheField>
    <cacheField name="列32" numFmtId="0">
      <sharedItems containsNonDate="0" containsString="0" containsBlank="1"/>
    </cacheField>
    <cacheField name="列33" numFmtId="0">
      <sharedItems containsNonDate="0" containsString="0" containsBlank="1"/>
    </cacheField>
    <cacheField name="列34" numFmtId="0">
      <sharedItems containsNonDate="0" containsString="0" containsBlank="1"/>
    </cacheField>
    <cacheField name="列35" numFmtId="0">
      <sharedItems/>
    </cacheField>
    <cacheField name="列36" numFmtId="0">
      <sharedItems/>
    </cacheField>
    <cacheField name="列37" numFmtId="0">
      <sharedItems/>
    </cacheField>
    <cacheField name="列38" numFmtId="0">
      <sharedItems/>
    </cacheField>
    <cacheField name="列39" numFmtId="0">
      <sharedItems/>
    </cacheField>
    <cacheField name="列40" numFmtId="0">
      <sharedItems/>
    </cacheField>
    <cacheField name="字段1" numFmtId="0" formula="拣货行数/拣货时长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x v="0"/>
    <s v="20005PK260730000009"/>
    <x v="0"/>
    <s v="425864389126073009"/>
    <s v="拆零拣打一体"/>
    <s v="20005WA260730000004"/>
    <s v="HCCLFQ 后场拣货策略分区"/>
    <x v="0"/>
    <d v="2026-07-30T07:04:04"/>
    <d v="2026-07-30T07:07:09"/>
    <n v="5.1388888888888887E-2"/>
    <n v="10"/>
    <n v="5"/>
    <s v=""/>
    <s v="2026-06-14 07:20:56"/>
    <s v="8.000"/>
    <s v="7"/>
    <s v="昆明盒马鲜生顺城购物中心店配送站"/>
    <s v="否"/>
    <m/>
    <s v="RF"/>
    <s v="拣打一体"/>
    <s v="1"/>
    <s v="0"/>
    <m/>
    <m/>
    <s v="0"/>
    <m/>
    <s v="否"/>
    <s v="296"/>
    <s v=""/>
    <s v=""/>
    <s v=""/>
    <s v=""/>
    <s v=""/>
    <m/>
    <m/>
    <m/>
    <m/>
    <s v=""/>
    <s v=""/>
    <s v="未满"/>
    <m/>
    <s v=""/>
    <m/>
    <m/>
    <m/>
    <s v=""/>
    <s v="拆零_根据批次组包"/>
    <s v="盒马"/>
    <s v="盒马"/>
    <s v="普通拣货"/>
    <s v="普通销售"/>
  </r>
  <r>
    <x v="0"/>
    <x v="0"/>
    <x v="0"/>
    <s v="20005PK260730000010"/>
    <x v="0"/>
    <s v="421603379826073009"/>
    <s v="拆零拣打一体"/>
    <s v="20005WA260730000005"/>
    <s v="HCCLFQ 后场拣货策略分区"/>
    <x v="1"/>
    <d v="2026-07-30T07:10:18"/>
    <d v="2026-07-30T07:12:00"/>
    <n v="2.8333333333333332E-2"/>
    <n v="5"/>
    <n v="5"/>
    <s v=""/>
    <s v="2026-06-14 07:13:50"/>
    <s v="4.000"/>
    <s v="4"/>
    <s v="昆明盒马鲜生顺城购物中心店配送站"/>
    <s v="否"/>
    <m/>
    <s v="RF"/>
    <s v="普通"/>
    <s v="1"/>
    <s v="0"/>
    <m/>
    <m/>
    <s v="0"/>
    <m/>
    <s v="否"/>
    <s v="102"/>
    <s v=""/>
    <s v=""/>
    <s v=""/>
    <s v=""/>
    <s v=""/>
    <m/>
    <m/>
    <m/>
    <m/>
    <s v=""/>
    <s v=""/>
    <s v="未满"/>
    <m/>
    <s v=""/>
    <m/>
    <m/>
    <m/>
    <s v=""/>
    <s v="拆零_根据批次组包"/>
    <s v="盒马"/>
    <s v="盒马"/>
    <s v="普通拣货"/>
    <s v="普通销售"/>
  </r>
  <r>
    <x v="0"/>
    <x v="0"/>
    <x v="0"/>
    <s v="20005PK260730000018"/>
    <x v="0"/>
    <s v="426197531226073009"/>
    <s v="拆零拣打一体"/>
    <s v="20005WA260730000009"/>
    <s v="HCCLFQ 后场拣货策略分区"/>
    <x v="2"/>
    <d v="2026-07-30T07:14:30"/>
    <d v="2026-07-30T07:16:13"/>
    <n v="2.8611111111111111E-2"/>
    <n v="6"/>
    <n v="6"/>
    <s v=""/>
    <s v="2026-06-14 07:13:50"/>
    <s v="1.000"/>
    <s v="1"/>
    <s v="昆明盒马鲜生顺城购物中心店配送站"/>
    <s v="否"/>
    <m/>
    <s v="RF"/>
    <s v="普通"/>
    <s v="1"/>
    <s v="0"/>
    <m/>
    <m/>
    <s v="0"/>
    <m/>
    <s v="否"/>
    <s v="68"/>
    <s v=""/>
    <s v=""/>
    <s v=""/>
    <s v=""/>
    <s v=""/>
    <m/>
    <m/>
    <m/>
    <m/>
    <s v=""/>
    <s v=""/>
    <s v="未满"/>
    <m/>
    <s v=""/>
    <m/>
    <m/>
    <m/>
    <s v=""/>
    <s v="拆零_根据批次组包"/>
    <s v="盒马"/>
    <s v="盒马"/>
    <s v="普通拣货"/>
    <s v="普通销售"/>
  </r>
  <r>
    <x v="0"/>
    <x v="0"/>
    <x v="0"/>
    <s v="20005PK260730000024"/>
    <x v="1"/>
    <s v="421539482026073009"/>
    <s v="拆零普通拣货"/>
    <s v="20005WA260730000012"/>
    <s v="A 日配/肉禽 *A"/>
    <x v="3"/>
    <d v="2026-07-30T07:18:35"/>
    <d v="2026-07-30T07:19:11"/>
    <n v="0.01"/>
    <n v="2"/>
    <n v="1"/>
    <s v=""/>
    <s v="2026-06-14 07:13:50"/>
    <s v="7.000"/>
    <s v="6"/>
    <s v="昆明盒马鲜生顺城购物中心店配送站"/>
    <s v="否"/>
    <m/>
    <s v="RF"/>
    <s v="普通"/>
    <s v="1"/>
    <s v="0"/>
    <m/>
    <m/>
    <s v="0"/>
    <m/>
    <s v="否"/>
    <s v="138"/>
    <s v=""/>
    <s v=""/>
    <s v=""/>
    <s v=""/>
    <s v=""/>
    <m/>
    <m/>
    <m/>
    <m/>
    <s v=""/>
    <s v=""/>
    <s v="未满"/>
    <m/>
    <s v=""/>
    <m/>
    <m/>
    <m/>
    <s v=""/>
    <s v="拆零_根据批次组包"/>
    <s v="盒马"/>
    <s v="盒马"/>
    <s v="普通拣货"/>
    <s v="普通销售"/>
  </r>
  <r>
    <x v="0"/>
    <x v="0"/>
    <x v="0"/>
    <s v="20005PK260730000025"/>
    <x v="2"/>
    <s v="421539482026073009"/>
    <s v="拆零普通拣货"/>
    <s v="20005WA260730000012"/>
    <s v="HCCLFQ 后场拣货策略分区"/>
    <x v="1"/>
    <d v="2026-07-30T07:19:09"/>
    <d v="2026-07-30T07:21:30"/>
    <n v="3.9166666666666662E-2"/>
    <n v="5"/>
    <n v="5"/>
    <s v=""/>
    <s v="2026-06-14 07:13:50"/>
    <s v="1.000"/>
    <s v="1"/>
    <s v="昆明盒马鲜生顺城购物中心店配送站"/>
    <s v="否"/>
    <m/>
    <s v="RF"/>
    <s v="普通"/>
    <s v="1"/>
    <s v="0"/>
    <m/>
    <m/>
    <s v="0"/>
    <m/>
    <s v="否"/>
    <s v="68"/>
    <s v=""/>
    <s v=""/>
    <s v=""/>
    <s v=""/>
    <s v=""/>
    <m/>
    <m/>
    <m/>
    <m/>
    <s v=""/>
    <s v=""/>
    <s v="未满"/>
    <m/>
    <s v=""/>
    <m/>
    <m/>
    <m/>
    <s v=""/>
    <s v="拆零_根据批次组包"/>
    <s v="盒马"/>
    <s v="盒马"/>
    <s v="普通拣货"/>
    <s v="普通销售"/>
  </r>
  <r>
    <x v="0"/>
    <x v="0"/>
    <x v="0"/>
    <s v="20005PK260730000015"/>
    <x v="1"/>
    <s v="421539469226073009"/>
    <s v="拆零普通拣货"/>
    <s v="20005WA260730000008"/>
    <s v="A 日配/肉禽 *A"/>
    <x v="4"/>
    <d v="2026-07-30T07:13:46"/>
    <d v="2026-07-30T07:14:02"/>
    <n v="4.4444444444444444E-3"/>
    <n v="1"/>
    <n v="1"/>
    <s v=""/>
    <s v="2026-06-14 07:00:46"/>
    <s v="1.000"/>
    <s v="1"/>
    <s v="昆明盒马鲜生顺城购物中心店配送站"/>
    <s v="否"/>
    <m/>
    <s v="RF"/>
    <s v="单区"/>
    <s v="1"/>
    <s v="0"/>
    <m/>
    <m/>
    <s v="0"/>
    <m/>
    <s v="是"/>
    <s v="68"/>
    <s v="小二责任"/>
    <s v=""/>
    <s v=""/>
    <s v=""/>
    <s v=""/>
    <m/>
    <m/>
    <m/>
    <m/>
    <s v=""/>
    <s v=""/>
    <s v="未满"/>
    <m/>
    <s v=""/>
    <m/>
    <m/>
    <m/>
    <s v=""/>
    <s v="拆零_根据批次组包"/>
    <s v="盒马"/>
    <s v="盒马"/>
    <s v="普通拣货"/>
    <s v="普通销售"/>
  </r>
  <r>
    <x v="0"/>
    <x v="0"/>
    <x v="0"/>
    <s v="20005PK260730000016"/>
    <x v="1"/>
    <s v="421539469226073009"/>
    <s v="拆零普通拣货"/>
    <s v="20005WA260730000008"/>
    <s v="P1 蔬果*A"/>
    <x v="3"/>
    <d v="2026-07-30T07:13:36"/>
    <d v="2026-07-30T07:14:29"/>
    <n v="1.4722222222222222E-2"/>
    <n v="1"/>
    <n v="1"/>
    <s v=""/>
    <s v="2026-06-14 07:34:46"/>
    <s v="11.000"/>
    <s v="7"/>
    <s v="昆明盒马鲜生顺城购物中心店配送站"/>
    <s v="否"/>
    <m/>
    <s v="RF"/>
    <s v="拣打一体"/>
    <s v="1"/>
    <s v="0"/>
    <m/>
    <m/>
    <s v="0"/>
    <m/>
    <s v="否"/>
    <s v="296"/>
    <s v=""/>
    <s v=""/>
    <s v=""/>
    <s v=""/>
    <s v=""/>
    <m/>
    <m/>
    <m/>
    <m/>
    <s v=""/>
    <s v=""/>
    <s v="未满"/>
    <m/>
    <s v=""/>
    <m/>
    <m/>
    <m/>
    <s v=""/>
    <s v="拆零_根据批次组包"/>
    <s v="盒马"/>
    <s v="盒马"/>
    <s v="普通拣货"/>
    <s v="普通销售"/>
  </r>
  <r>
    <x v="0"/>
    <x v="0"/>
    <x v="0"/>
    <s v="20005PK260730000017"/>
    <x v="2"/>
    <s v="421539469226073009"/>
    <s v="拆零普通拣货"/>
    <s v="20005WA260730000008"/>
    <s v="HCCLFQ 后场拣货策略分区"/>
    <x v="2"/>
    <d v="2026-07-30T07:13:30"/>
    <d v="2026-07-30T07:14:01"/>
    <n v="8.611111111111111E-3"/>
    <n v="2"/>
    <n v="2"/>
    <s v=""/>
    <s v="2026-06-14 07:00:47"/>
    <s v="8.000"/>
    <s v="8"/>
    <s v="昆明盒马鲜生顺城购物中心店配送站"/>
    <s v="否"/>
    <m/>
    <s v="RF"/>
    <s v="拣打一体"/>
    <s v="1"/>
    <s v="0"/>
    <m/>
    <m/>
    <s v="0"/>
    <m/>
    <s v="否"/>
    <s v="334"/>
    <s v=""/>
    <s v=""/>
    <s v=""/>
    <s v=""/>
    <s v=""/>
    <m/>
    <m/>
    <m/>
    <m/>
    <s v=""/>
    <s v=""/>
    <s v="未满"/>
    <m/>
    <s v=""/>
    <m/>
    <m/>
    <m/>
    <s v=""/>
    <s v="拆零_根据批次组包"/>
    <s v="盒马"/>
    <s v="盒马"/>
    <s v="普通拣货"/>
    <s v="普通销售"/>
  </r>
  <r>
    <x v="0"/>
    <x v="0"/>
    <x v="0"/>
    <s v="20005PK260730000011"/>
    <x v="0"/>
    <s v="421563465126073009"/>
    <s v="拆零拣打一体"/>
    <s v="20005WA260730000007"/>
    <s v="HCCLFQ 后场拣货策略分区"/>
    <x v="5"/>
    <d v="2026-07-30T07:12:26"/>
    <d v="2026-07-30T07:15:25"/>
    <n v="4.9722222222222223E-2"/>
    <n v="12"/>
    <n v="11"/>
    <s v=""/>
    <s v="2026-06-14 07:21:49"/>
    <s v="1.000"/>
    <s v="1"/>
    <s v="昆明盒马鲜生顺城购物中心店配送站"/>
    <s v="否"/>
    <m/>
    <s v="RF"/>
    <s v="普通"/>
    <s v="1"/>
    <s v="0"/>
    <m/>
    <m/>
    <s v="0"/>
    <m/>
    <s v="否"/>
    <s v="48"/>
    <s v=""/>
    <s v=""/>
    <s v=""/>
    <s v=""/>
    <s v=""/>
    <m/>
    <m/>
    <m/>
    <m/>
    <s v=""/>
    <s v=""/>
    <s v="未满"/>
    <m/>
    <s v=""/>
    <m/>
    <m/>
    <m/>
    <s v=""/>
    <s v="拆零_根据批次组包"/>
    <s v="盒马"/>
    <s v="盒马"/>
    <s v="普通拣货"/>
    <s v="普通销售"/>
  </r>
  <r>
    <x v="0"/>
    <x v="0"/>
    <x v="0"/>
    <s v="20005PK260730000044"/>
    <x v="0"/>
    <s v="428242565326073009"/>
    <s v="拆零拣打一体"/>
    <s v="20005WA260730000023"/>
    <s v="HCCLFQ 后场拣货策略分区"/>
    <x v="0"/>
    <d v="2026-07-30T07:31:12"/>
    <d v="2026-07-30T07:33:40"/>
    <n v="4.1111111111111112E-2"/>
    <n v="6"/>
    <n v="6"/>
    <s v=""/>
    <s v="2026-06-14 07:21:49"/>
    <s v="1.000"/>
    <s v="1"/>
    <s v="昆明盒马鲜生顺城购物中心店配送站"/>
    <s v="否"/>
    <m/>
    <s v="RF"/>
    <s v="普通"/>
    <s v="1"/>
    <s v="0"/>
    <m/>
    <m/>
    <s v="0"/>
    <m/>
    <s v="否"/>
    <s v="68"/>
    <s v=""/>
    <s v=""/>
    <s v=""/>
    <s v=""/>
    <s v=""/>
    <m/>
    <m/>
    <m/>
    <m/>
    <s v=""/>
    <s v=""/>
    <s v="未满"/>
    <m/>
    <s v=""/>
    <m/>
    <m/>
    <m/>
    <s v=""/>
    <s v="拆零_根据批次组包"/>
    <s v="盒马"/>
    <s v="盒马"/>
    <s v="普通拣货"/>
    <s v="普通销售"/>
  </r>
  <r>
    <x v="0"/>
    <x v="0"/>
    <x v="0"/>
    <s v="20005PK260730000020"/>
    <x v="2"/>
    <s v="428306402226073009"/>
    <s v="拆零普通拣货"/>
    <s v="20005WA260730000011"/>
    <s v="P 后场拣货区（标品）*P"/>
    <x v="1"/>
    <d v="2026-07-30T07:18:03"/>
    <d v="2026-07-30T07:18:44"/>
    <n v="1.1388888888888888E-2"/>
    <n v="3"/>
    <n v="3"/>
    <s v=""/>
    <s v="2026-06-14 07:21:50"/>
    <s v="16.000"/>
    <s v="12"/>
    <s v="昆明盒马鲜生顺城购物中心店配送站"/>
    <s v="否"/>
    <m/>
    <s v="RF"/>
    <s v="普通"/>
    <s v="2"/>
    <s v="0"/>
    <m/>
    <m/>
    <s v="0"/>
    <m/>
    <s v="否"/>
    <s v="246"/>
    <s v=""/>
    <s v=""/>
    <s v=""/>
    <s v=""/>
    <s v=""/>
    <m/>
    <m/>
    <m/>
    <m/>
    <s v=""/>
    <s v=""/>
    <s v="未满"/>
    <m/>
    <s v=""/>
    <m/>
    <m/>
    <m/>
    <s v=""/>
    <s v="拆零_根据批次组包"/>
    <s v="盒马"/>
    <s v="盒马"/>
    <s v="普通拣货"/>
    <s v="普通销售"/>
  </r>
  <r>
    <x v="0"/>
    <x v="0"/>
    <x v="0"/>
    <s v="20005PK260730000021"/>
    <x v="2"/>
    <s v="428306402226073009"/>
    <s v="拆零普通拣货"/>
    <s v="20005WA260730000011"/>
    <s v="P3 后场拣货区（黄金）*P"/>
    <x v="2"/>
    <d v="2026-07-30T07:18:02"/>
    <d v="2026-07-30T07:18:45"/>
    <n v="1.1944444444444443E-2"/>
    <n v="5"/>
    <n v="4"/>
    <s v=""/>
    <s v="2026-06-14 07:32:56"/>
    <s v="1.034"/>
    <s v="1"/>
    <s v="昆明盒马鲜生顺城购物中心店配送站"/>
    <s v="否"/>
    <m/>
    <s v="RF"/>
    <s v="普通"/>
    <s v="1"/>
    <s v="0"/>
    <m/>
    <m/>
    <s v="0"/>
    <m/>
    <s v="否"/>
    <s v="128"/>
    <s v=""/>
    <s v=""/>
    <s v=""/>
    <s v=""/>
    <s v=""/>
    <m/>
    <m/>
    <m/>
    <m/>
    <s v=""/>
    <s v=""/>
    <s v="未满"/>
    <m/>
    <s v=""/>
    <m/>
    <m/>
    <m/>
    <s v=""/>
    <s v="拆零_根据批次组包"/>
    <s v="盒马"/>
    <s v="盒马"/>
    <s v="普通拣货"/>
    <s v="普通销售"/>
  </r>
  <r>
    <x v="0"/>
    <x v="0"/>
    <x v="0"/>
    <s v="20005PK260730000022"/>
    <x v="1"/>
    <s v="428306402226073009"/>
    <s v="拆零普通拣货"/>
    <s v="20005WA260730000011"/>
    <s v="ABCD 标品/烘焙*A"/>
    <x v="3"/>
    <d v="2026-07-30T07:16:19"/>
    <d v="2026-07-30T07:17:45"/>
    <n v="2.3888888888888887E-2"/>
    <n v="2"/>
    <n v="2"/>
    <s v=""/>
    <s v="2026-06-14 07:32:56"/>
    <s v="3.000"/>
    <s v="1"/>
    <s v="昆明盒马鲜生顺城购物中心店配送站"/>
    <s v="否"/>
    <m/>
    <s v="RF"/>
    <s v="普通"/>
    <s v="1"/>
    <s v="0"/>
    <m/>
    <m/>
    <s v="0"/>
    <m/>
    <s v="否"/>
    <s v="48"/>
    <s v=""/>
    <s v=""/>
    <s v=""/>
    <s v=""/>
    <s v=""/>
    <m/>
    <m/>
    <m/>
    <m/>
    <s v=""/>
    <s v=""/>
    <s v="未满"/>
    <m/>
    <s v=""/>
    <m/>
    <m/>
    <m/>
    <s v=""/>
    <s v="拆零_根据批次组包"/>
    <s v="盒马"/>
    <s v="盒马"/>
    <s v="普通拣货"/>
    <s v="普通销售"/>
  </r>
  <r>
    <x v="0"/>
    <x v="0"/>
    <x v="0"/>
    <s v="20005PK260730000005"/>
    <x v="2"/>
    <s v="428246474426073009"/>
    <s v="拆零普通拣货"/>
    <s v="20005WA260730000003"/>
    <s v="P 后场拣货区（标品）*P"/>
    <x v="2"/>
    <d v="2026-07-30T07:02:28"/>
    <d v="2026-07-30T07:02:49"/>
    <n v="5.8333333333333327E-3"/>
    <n v="3"/>
    <n v="1"/>
    <s v=""/>
    <s v="2026-06-14 07:37:49"/>
    <s v="1.000"/>
    <s v="1"/>
    <s v="昆明盒马鲜生顺城购物中心店配送站"/>
    <s v="否"/>
    <m/>
    <s v="RF"/>
    <s v="普通"/>
    <s v="1"/>
    <s v="0"/>
    <m/>
    <m/>
    <s v="0"/>
    <m/>
    <s v="否"/>
    <s v="48"/>
    <s v=""/>
    <s v=""/>
    <s v=""/>
    <s v=""/>
    <s v=""/>
    <m/>
    <m/>
    <m/>
    <m/>
    <s v=""/>
    <s v=""/>
    <s v="未满"/>
    <m/>
    <s v=""/>
    <m/>
    <m/>
    <m/>
    <s v=""/>
    <s v="拆零_根据批次组包"/>
    <s v="盒马"/>
    <s v="盒马"/>
    <s v="普通拣货"/>
    <s v="普通销售"/>
  </r>
  <r>
    <x v="0"/>
    <x v="0"/>
    <x v="0"/>
    <s v="20005PK260730000006"/>
    <x v="1"/>
    <s v="428246474426073009"/>
    <s v="拆零普通拣货"/>
    <s v="20005WA260730000003"/>
    <s v="A 日配/肉禽 *A"/>
    <x v="4"/>
    <d v="2026-07-30T07:02:25"/>
    <d v="2026-07-30T07:02:43"/>
    <n v="5.0000000000000001E-3"/>
    <n v="1"/>
    <n v="1"/>
    <s v=""/>
    <s v="2026-06-14 07:37:49"/>
    <s v="1.000"/>
    <s v="1"/>
    <s v="昆明盒马鲜生顺城购物中心店配送站"/>
    <s v="否"/>
    <m/>
    <s v="RF"/>
    <s v="普通"/>
    <s v="1"/>
    <s v="0"/>
    <m/>
    <m/>
    <s v="0"/>
    <m/>
    <s v="否"/>
    <s v="68"/>
    <s v=""/>
    <s v=""/>
    <s v=""/>
    <s v=""/>
    <s v=""/>
    <m/>
    <m/>
    <m/>
    <m/>
    <s v=""/>
    <s v=""/>
    <s v="未满"/>
    <m/>
    <s v=""/>
    <m/>
    <m/>
    <m/>
    <s v=""/>
    <s v="拆零_根据批次组包"/>
    <s v="盒马"/>
    <s v="盒马"/>
    <s v="普通拣货"/>
    <s v="普通销售"/>
  </r>
  <r>
    <x v="0"/>
    <x v="0"/>
    <x v="0"/>
    <s v="20005PK260730000007"/>
    <x v="2"/>
    <s v="428246474426073009"/>
    <s v="拆零普通拣货"/>
    <s v="20005WA260730000003"/>
    <s v="P3 后场拣货区（黄金）*P"/>
    <x v="1"/>
    <d v="2026-07-30T07:01:34"/>
    <d v="2026-07-30T07:02:57"/>
    <n v="2.3055555555555555E-2"/>
    <n v="11"/>
    <n v="8"/>
    <s v=""/>
    <s v="2026-06-14 07:37:49"/>
    <s v="9.000"/>
    <s v="9"/>
    <s v="昆明盒马鲜生顺城购物中心店配送站"/>
    <s v="否"/>
    <m/>
    <s v="RF"/>
    <s v="普通"/>
    <s v="1"/>
    <s v="0"/>
    <m/>
    <m/>
    <s v="0"/>
    <m/>
    <s v="否"/>
    <s v="192"/>
    <s v=""/>
    <s v=""/>
    <s v=""/>
    <s v=""/>
    <s v=""/>
    <m/>
    <m/>
    <m/>
    <m/>
    <s v=""/>
    <s v=""/>
    <s v="未满"/>
    <m/>
    <s v=""/>
    <m/>
    <m/>
    <m/>
    <s v=""/>
    <s v="拆零_根据批次组包"/>
    <s v="盒马"/>
    <s v="盒马"/>
    <s v="普通拣货"/>
    <s v="普通销售"/>
  </r>
  <r>
    <x v="0"/>
    <x v="0"/>
    <x v="0"/>
    <s v="20005PK260730000008"/>
    <x v="1"/>
    <s v="428246474426073009"/>
    <s v="拆零普通拣货"/>
    <s v="20005WA260730000003"/>
    <s v="ABCD 标品/烘焙*A"/>
    <x v="0"/>
    <d v="2026-07-30T07:02:30"/>
    <d v="2026-07-30T07:03:06"/>
    <n v="0.01"/>
    <n v="3"/>
    <n v="1"/>
    <s v=""/>
    <s v="2026-06-14 07:23:58"/>
    <s v="1.000"/>
    <s v="1"/>
    <s v="昆明盒马鲜生顺城购物中心店配送站"/>
    <s v="否"/>
    <m/>
    <s v="RF"/>
    <s v="普通"/>
    <s v="1"/>
    <s v="0"/>
    <m/>
    <m/>
    <s v="0"/>
    <m/>
    <s v="否"/>
    <s v="68"/>
    <s v=""/>
    <s v=""/>
    <s v=""/>
    <s v=""/>
    <s v=""/>
    <m/>
    <m/>
    <m/>
    <m/>
    <s v=""/>
    <s v=""/>
    <s v="未满"/>
    <m/>
    <s v=""/>
    <m/>
    <m/>
    <m/>
    <s v=""/>
    <s v="拆零_根据批次组包"/>
    <s v="盒马"/>
    <s v="盒马"/>
    <s v="普通拣货"/>
    <s v="普通销售"/>
  </r>
  <r>
    <x v="0"/>
    <x v="0"/>
    <x v="0"/>
    <s v="20005PK260730000026"/>
    <x v="2"/>
    <s v="426241453806073009"/>
    <s v="拆零普通拣货"/>
    <s v="20005WA260730000014"/>
    <s v="P 后场拣货区（标品）*P"/>
    <x v="2"/>
    <d v="2026-07-30T07:21:29"/>
    <d v="2026-07-30T07:21:39"/>
    <n v="2.7777777777777775E-3"/>
    <n v="1"/>
    <n v="1"/>
    <s v=""/>
    <s v="2026-06-14 07:23:58"/>
    <s v="1.000"/>
    <s v="1"/>
    <s v="昆明盒马鲜生顺城购物中心店配送站"/>
    <s v="否"/>
    <m/>
    <s v="RF"/>
    <s v="普通"/>
    <s v="1"/>
    <s v="0"/>
    <m/>
    <m/>
    <s v="0"/>
    <m/>
    <s v="否"/>
    <s v="68"/>
    <s v=""/>
    <s v=""/>
    <s v=""/>
    <s v=""/>
    <s v=""/>
    <m/>
    <m/>
    <m/>
    <m/>
    <s v=""/>
    <s v=""/>
    <s v="未满"/>
    <m/>
    <s v=""/>
    <m/>
    <m/>
    <m/>
    <s v=""/>
    <s v="拆零_根据批次组包"/>
    <s v="盒马"/>
    <s v="盒马"/>
    <s v="普通拣货"/>
    <s v="普通销售"/>
  </r>
  <r>
    <x v="0"/>
    <x v="0"/>
    <x v="0"/>
    <s v="20005PK260730000027"/>
    <x v="1"/>
    <s v="426241453806073009"/>
    <s v="拆零普通拣货"/>
    <s v="20005WA260730000014"/>
    <s v="A 日配/肉禽 *A"/>
    <x v="3"/>
    <d v="2026-07-30T07:19:25"/>
    <d v="2026-07-30T07:19:39"/>
    <n v="3.8888888888888888E-3"/>
    <n v="1"/>
    <n v="1"/>
    <s v=""/>
    <s v="2026-06-14 07:23:58"/>
    <s v="1.000"/>
    <s v="1"/>
    <s v="昆明盒马鲜生顺城购物中心店配送站"/>
    <s v="否"/>
    <m/>
    <s v="RF"/>
    <s v="普通"/>
    <s v="1"/>
    <s v="0"/>
    <m/>
    <m/>
    <s v="0"/>
    <m/>
    <s v="否"/>
    <s v="48"/>
    <s v=""/>
    <s v=""/>
    <s v=""/>
    <s v=""/>
    <s v=""/>
    <m/>
    <m/>
    <m/>
    <m/>
    <s v=""/>
    <s v=""/>
    <s v="未满"/>
    <m/>
    <s v=""/>
    <m/>
    <m/>
    <m/>
    <s v=""/>
    <s v="拆零_根据批次组包"/>
    <s v="盒马"/>
    <s v="盒马"/>
    <s v="普通拣货"/>
    <s v="普通销售"/>
  </r>
  <r>
    <x v="0"/>
    <x v="0"/>
    <x v="0"/>
    <s v="20005PK260730000028"/>
    <x v="2"/>
    <s v="426241453806073009"/>
    <s v="拆零普通拣货"/>
    <s v="20005WA260730000014"/>
    <s v="P3 后场拣货区（黄金）*P"/>
    <x v="2"/>
    <d v="2026-07-30T07:19:28"/>
    <d v="2026-07-30T07:20:48"/>
    <n v="2.222222222222222E-2"/>
    <n v="8"/>
    <n v="6"/>
    <s v=""/>
    <s v="2026-06-14 07:09:47"/>
    <s v="0.520"/>
    <s v="1"/>
    <s v="昆明盒马鲜生顺城购物中心店配送站"/>
    <s v="否"/>
    <m/>
    <s v="RF"/>
    <s v="普通"/>
    <s v="1"/>
    <s v="0"/>
    <m/>
    <m/>
    <s v="0"/>
    <m/>
    <s v="是"/>
    <s v="128"/>
    <s v="档口责任"/>
    <s v=""/>
    <s v=""/>
    <s v=""/>
    <s v=""/>
    <m/>
    <m/>
    <m/>
    <m/>
    <s v=""/>
    <s v=""/>
    <s v="未满"/>
    <m/>
    <s v=""/>
    <m/>
    <m/>
    <m/>
    <s v=""/>
    <s v="拆零_根据批次组包"/>
    <s v="盒马"/>
    <s v="盒马"/>
    <s v="普通拣货"/>
    <s v="普通销售"/>
  </r>
  <r>
    <x v="0"/>
    <x v="0"/>
    <x v="0"/>
    <s v="20005PK260730000029"/>
    <x v="1"/>
    <s v="426241453806073009"/>
    <s v="拆零普通拣货"/>
    <s v="20005WA260730000014"/>
    <s v="ABCD 标品/烘焙*A"/>
    <x v="6"/>
    <d v="2026-07-30T07:19:05"/>
    <d v="2026-07-30T07:20:12"/>
    <n v="1.861111111111111E-2"/>
    <n v="1"/>
    <n v="1"/>
    <s v=""/>
    <s v="2026-06-14 07:09:47"/>
    <s v="5.000"/>
    <s v="5"/>
    <s v="昆明盒马鲜生顺城购物中心店配送站"/>
    <s v="否"/>
    <m/>
    <s v="RF"/>
    <s v="普通"/>
    <s v="1"/>
    <s v="0"/>
    <m/>
    <m/>
    <s v="0"/>
    <m/>
    <s v="否"/>
    <s v="120"/>
    <s v=""/>
    <s v=""/>
    <s v=""/>
    <s v=""/>
    <s v=""/>
    <m/>
    <m/>
    <m/>
    <m/>
    <s v=""/>
    <s v=""/>
    <s v="未满"/>
    <m/>
    <s v=""/>
    <m/>
    <m/>
    <m/>
    <s v=""/>
    <s v="拆零_根据批次组包"/>
    <s v="盒马"/>
    <s v="盒马"/>
    <s v="普通拣货"/>
    <s v="普通销售"/>
  </r>
  <r>
    <x v="0"/>
    <x v="0"/>
    <x v="0"/>
    <s v="20005PK260730000040"/>
    <x v="0"/>
    <s v="428294439826073009"/>
    <s v="拆零拣打一体"/>
    <s v="20005WA260730000019"/>
    <s v="HCCLFQ 后场拣货策略分区"/>
    <x v="0"/>
    <d v="2026-07-30T07:27:44"/>
    <d v="2026-07-30T07:28:27"/>
    <n v="1.1944444444444443E-2"/>
    <n v="1"/>
    <n v="1"/>
    <s v=""/>
    <s v="2026-06-14 07:09:47"/>
    <s v="1.000"/>
    <s v="1"/>
    <s v="昆明盒马鲜生顺城购物中心店配送站"/>
    <s v="否"/>
    <m/>
    <s v="RF"/>
    <s v="普通"/>
    <s v="1"/>
    <s v="0"/>
    <m/>
    <m/>
    <s v="0"/>
    <m/>
    <s v="否"/>
    <s v="68"/>
    <s v=""/>
    <s v=""/>
    <s v=""/>
    <s v=""/>
    <s v=""/>
    <m/>
    <m/>
    <m/>
    <m/>
    <s v=""/>
    <s v=""/>
    <s v="未满"/>
    <m/>
    <s v=""/>
    <m/>
    <m/>
    <m/>
    <s v=""/>
    <s v="拆零_根据批次组包"/>
    <s v="盒马"/>
    <s v="盒马"/>
    <s v="普通拣货"/>
    <s v="普通销售"/>
  </r>
  <r>
    <x v="0"/>
    <x v="0"/>
    <x v="0"/>
    <s v="20005PK260730000049"/>
    <x v="2"/>
    <s v="425792578126073009"/>
    <s v="拆零普通拣货"/>
    <s v="20005WA260730000025"/>
    <s v="P 后场拣货区（标品）*P"/>
    <x v="2"/>
    <d v="2026-07-30T07:36:24"/>
    <d v="2026-07-30T07:36:39"/>
    <n v="4.1666666666666666E-3"/>
    <n v="1"/>
    <n v="1"/>
    <s v=""/>
    <s v="2026-06-14 07:21:48"/>
    <s v="11.000"/>
    <s v="4"/>
    <s v="昆明盒马鲜生顺城购物中心店配送站"/>
    <s v="否"/>
    <m/>
    <s v="RF"/>
    <s v="普通"/>
    <s v="1"/>
    <s v="0"/>
    <m/>
    <m/>
    <s v="0"/>
    <m/>
    <s v="否"/>
    <s v="111"/>
    <s v=""/>
    <s v=""/>
    <s v=""/>
    <s v=""/>
    <s v=""/>
    <m/>
    <m/>
    <m/>
    <m/>
    <s v=""/>
    <s v=""/>
    <s v="未满"/>
    <m/>
    <s v=""/>
    <m/>
    <m/>
    <m/>
    <s v=""/>
    <s v="拆零_根据批次组包"/>
    <s v="盒马"/>
    <s v="盒马"/>
    <s v="普通拣货"/>
    <s v="普通销售"/>
  </r>
  <r>
    <x v="0"/>
    <x v="0"/>
    <x v="0"/>
    <s v="20005PK260730000050"/>
    <x v="1"/>
    <s v="425792578126073009"/>
    <s v="拆零普通拣货"/>
    <s v="20005WA260730000025"/>
    <s v="A 日配/肉禽 *A"/>
    <x v="7"/>
    <d v="2026-07-30T07:36:11"/>
    <d v="2026-07-30T07:36:40"/>
    <n v="8.0555555555555554E-3"/>
    <n v="1"/>
    <n v="1"/>
    <s v=""/>
    <s v="2026-06-14 07:21:48"/>
    <s v="1.000"/>
    <s v="1"/>
    <s v="昆明盒马鲜生顺城购物中心店配送站"/>
    <s v="否"/>
    <m/>
    <s v="RF"/>
    <s v="普通"/>
    <s v="1"/>
    <s v="0"/>
    <m/>
    <m/>
    <s v="0"/>
    <m/>
    <s v="否"/>
    <s v="68"/>
    <s v=""/>
    <s v=""/>
    <s v=""/>
    <s v=""/>
    <s v=""/>
    <m/>
    <m/>
    <m/>
    <m/>
    <s v=""/>
    <s v=""/>
    <s v="未满"/>
    <m/>
    <s v=""/>
    <m/>
    <m/>
    <m/>
    <s v=""/>
    <s v="拆零_根据批次组包"/>
    <s v="盒马"/>
    <s v="盒马"/>
    <s v="普通拣货"/>
    <s v="普通销售"/>
  </r>
  <r>
    <x v="0"/>
    <x v="0"/>
    <x v="0"/>
    <s v="20005PK260730000051"/>
    <x v="2"/>
    <s v="425792578126073009"/>
    <s v="拆零普通拣货"/>
    <s v="20005WA260730000025"/>
    <s v="P3 后场拣货区（黄金）*P"/>
    <x v="1"/>
    <d v="2026-07-30T07:36:23"/>
    <d v="2026-07-30T07:39:12"/>
    <n v="4.6944444444444441E-2"/>
    <n v="13"/>
    <n v="11"/>
    <s v=""/>
    <s v="2026-06-14 07:21:48"/>
    <s v="5.000"/>
    <s v="4"/>
    <s v="昆明盒马鲜生顺城购物中心店配送站"/>
    <s v="否"/>
    <m/>
    <s v="RF"/>
    <s v="普通"/>
    <s v="1"/>
    <s v="0"/>
    <m/>
    <m/>
    <s v="0"/>
    <m/>
    <s v="否"/>
    <s v="102"/>
    <s v=""/>
    <s v=""/>
    <s v=""/>
    <s v=""/>
    <s v=""/>
    <m/>
    <m/>
    <m/>
    <m/>
    <s v=""/>
    <s v=""/>
    <s v="未满"/>
    <m/>
    <s v=""/>
    <m/>
    <m/>
    <m/>
    <s v=""/>
    <s v="拆零_根据批次组包"/>
    <s v="盒马"/>
    <s v="盒马"/>
    <s v="普通拣货"/>
    <s v="普通销售"/>
  </r>
  <r>
    <x v="0"/>
    <x v="0"/>
    <x v="0"/>
    <s v="20005PK260730000052"/>
    <x v="1"/>
    <s v="425792578126073009"/>
    <s v="拆零普通拣货"/>
    <s v="20005WA260730000025"/>
    <s v="AH 水产*A"/>
    <x v="3"/>
    <d v="2026-07-30T07:36:12"/>
    <d v="2026-07-30T07:39:12"/>
    <n v="4.9999999999999996E-2"/>
    <n v="1"/>
    <n v="1"/>
    <s v=""/>
    <s v="2026-06-14 07:47:47"/>
    <s v="1.000"/>
    <s v="1"/>
    <s v="昆明盒马鲜生顺城购物中心店配送站"/>
    <s v="否"/>
    <m/>
    <s v="RF"/>
    <s v="普通"/>
    <s v="1"/>
    <s v="0"/>
    <m/>
    <m/>
    <s v="0"/>
    <m/>
    <s v="否"/>
    <s v="68"/>
    <s v=""/>
    <s v=""/>
    <s v=""/>
    <s v=""/>
    <s v=""/>
    <m/>
    <m/>
    <m/>
    <m/>
    <s v=""/>
    <s v=""/>
    <s v="未满"/>
    <m/>
    <s v=""/>
    <m/>
    <m/>
    <m/>
    <s v=""/>
    <s v="拆零_根据批次组包"/>
    <s v="盒马"/>
    <s v="盒马"/>
    <s v="普通拣货"/>
    <s v="普通销售"/>
  </r>
  <r>
    <x v="0"/>
    <x v="0"/>
    <x v="0"/>
    <s v="20005PK260730000053"/>
    <x v="1"/>
    <s v="425792578126073009"/>
    <s v="拆零普通拣货"/>
    <s v="20005WA260730000025"/>
    <s v="ABCD 标品/烘焙*A"/>
    <x v="4"/>
    <d v="2026-07-30T07:36:48"/>
    <d v="2026-07-30T07:39:30"/>
    <n v="4.4999999999999998E-2"/>
    <n v="3"/>
    <n v="3"/>
    <s v=""/>
    <s v="2026-06-14 07:47:47"/>
    <s v="4.000"/>
    <s v="4"/>
    <s v="昆明盒马鲜生顺城购物中心店配送站"/>
    <s v="否"/>
    <m/>
    <s v="RF"/>
    <s v="普通"/>
    <s v="1"/>
    <s v="0"/>
    <m/>
    <m/>
    <s v="0"/>
    <m/>
    <s v="否"/>
    <s v="102"/>
    <s v=""/>
    <s v=""/>
    <s v=""/>
    <s v=""/>
    <s v=""/>
    <m/>
    <m/>
    <m/>
    <m/>
    <s v=""/>
    <s v=""/>
    <s v="未满"/>
    <m/>
    <s v=""/>
    <m/>
    <m/>
    <m/>
    <s v=""/>
    <s v="拆零_根据批次组包"/>
    <s v="盒马"/>
    <s v="盒马"/>
    <s v="普通拣货"/>
    <s v="普通销售"/>
  </r>
  <r>
    <x v="0"/>
    <x v="0"/>
    <x v="0"/>
    <s v="20005PK260730000062"/>
    <x v="0"/>
    <s v="428306468926073009"/>
    <s v="拆零拣打一体"/>
    <s v="20005WA260730000031"/>
    <s v="HCCLFQ 后场拣货策略分区"/>
    <x v="0"/>
    <d v="2026-07-30T07:45:28"/>
    <d v="2026-07-30T07:45:39"/>
    <n v="3.0555555555555553E-3"/>
    <n v="1"/>
    <n v="1"/>
    <s v=""/>
    <s v="2026-06-14 15:26:55"/>
    <s v="6.000"/>
    <s v="6"/>
    <s v="昆明盒马鲜生顺城购物中心店配送站"/>
    <s v="否"/>
    <m/>
    <s v="RF"/>
    <s v="拣打一体"/>
    <s v="1"/>
    <s v="0"/>
    <m/>
    <m/>
    <s v="0"/>
    <m/>
    <s v="否"/>
    <s v="258"/>
    <s v=""/>
    <s v=""/>
    <s v=""/>
    <s v=""/>
    <s v=""/>
    <m/>
    <m/>
    <m/>
    <m/>
    <s v=""/>
    <s v=""/>
    <s v="未满"/>
    <m/>
    <s v=""/>
    <m/>
    <m/>
    <m/>
    <s v=""/>
    <s v="拆零_根据批次组包"/>
    <s v="盒马"/>
    <s v="盒马"/>
    <s v="普通拣货"/>
    <s v="普通销售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DD4FB6-9202-4D06-902D-D57391DF6960}" name="数据透视表4" cacheId="0" applyNumberFormats="0" applyBorderFormats="0" applyFontFormats="0" applyPatternFormats="0" applyAlignmentFormats="0" applyWidthHeightFormats="1" dataCaption="值" errorCaption="---" showError="1" updatedVersion="8" minRefreshableVersion="3" useAutoFormatting="1" rowGrandTotals="0" itemPrintTitles="1" createdVersion="7" indent="0" outline="1" outlineData="1" multipleFieldFilters="0" rowHeaderCaption="后场/一体化" colHeaderCaption="">
  <location ref="A3:C7" firstHeaderRow="1" firstDataRow="2" firstDataCol="1" rowPageCount="1" colPageCount="1"/>
  <pivotFields count="56">
    <pivotField showAll="0"/>
    <pivotField axis="axisPage" numFmtId="14" showAll="0">
      <items count="2">
        <item x="0"/>
        <item t="default"/>
      </items>
    </pivotField>
    <pivotField axis="axisCol" showAll="0">
      <items count="18">
        <item m="1" x="16"/>
        <item x="0"/>
        <item m="1" x="1"/>
        <item m="1" x="2"/>
        <item m="1" x="3"/>
        <item m="1" x="4"/>
        <item m="1" x="5"/>
        <item m="1" x="6"/>
        <item m="1" x="7"/>
        <item m="1" x="9"/>
        <item m="1" x="8"/>
        <item m="1" x="10"/>
        <item m="1" x="11"/>
        <item m="1" x="12"/>
        <item m="1" x="13"/>
        <item m="1" x="14"/>
        <item m="1" x="15"/>
        <item t="default"/>
      </items>
    </pivotField>
    <pivotField showAll="0"/>
    <pivotField axis="axisRow" showAll="0">
      <items count="971">
        <item h="1" m="1" x="967"/>
        <item h="1" m="1" x="966"/>
        <item h="1" x="0"/>
        <item h="1" m="1" x="965"/>
        <item h="1" m="1" x="968"/>
        <item h="1" m="1" x="969"/>
        <item h="1" x="1"/>
        <item x="2"/>
        <item h="1" m="1" x="3"/>
        <item h="1" m="1" x="4"/>
        <item h="1" m="1" x="5"/>
        <item h="1" m="1" x="6"/>
        <item h="1" m="1" x="7"/>
        <item h="1" m="1" x="8"/>
        <item h="1" m="1" x="9"/>
        <item h="1" m="1" x="10"/>
        <item h="1" m="1" x="11"/>
        <item h="1" m="1" x="12"/>
        <item h="1" m="1" x="13"/>
        <item h="1" m="1" x="14"/>
        <item h="1" m="1" x="15"/>
        <item h="1" m="1" x="16"/>
        <item h="1" m="1" x="17"/>
        <item h="1" m="1" x="18"/>
        <item h="1" m="1" x="19"/>
        <item h="1" m="1" x="20"/>
        <item h="1" m="1" x="21"/>
        <item h="1" m="1" x="22"/>
        <item h="1" m="1" x="23"/>
        <item h="1" m="1" x="24"/>
        <item h="1" m="1" x="25"/>
        <item h="1" m="1" x="26"/>
        <item h="1" m="1" x="27"/>
        <item h="1" m="1" x="28"/>
        <item h="1" m="1" x="29"/>
        <item h="1" m="1" x="30"/>
        <item h="1" m="1" x="31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h="1" m="1" x="62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151"/>
        <item h="1" m="1" x="152"/>
        <item h="1" m="1" x="153"/>
        <item h="1" m="1" x="154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82"/>
        <item h="1" m="1" x="183"/>
        <item h="1" m="1" x="184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211"/>
        <item h="1" m="1" x="212"/>
        <item h="1" m="1" x="213"/>
        <item h="1" m="1" x="214"/>
        <item h="1" m="1" x="215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243"/>
        <item h="1" m="1" x="244"/>
        <item h="1" m="1" x="245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73"/>
        <item h="1" m="1" x="274"/>
        <item h="1" m="1" x="275"/>
        <item h="1" m="1" x="276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304"/>
        <item h="1" m="1" x="305"/>
        <item h="1" m="1" x="306"/>
        <item h="1" m="1" x="307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335"/>
        <item h="1" m="1" x="336"/>
        <item h="1" m="1" x="337"/>
        <item h="1" m="1" x="338"/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63"/>
        <item h="1" m="1" x="364"/>
        <item h="1" m="1" x="365"/>
        <item h="1" m="1" x="366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95"/>
        <item h="1" m="1" x="396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425"/>
        <item h="1" m="1" x="426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456"/>
        <item h="1" m="1" x="457"/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86"/>
        <item h="1" m="1" x="487"/>
        <item h="1" m="1" x="488"/>
        <item h="1" m="1" x="489"/>
        <item h="1" m="1" x="490"/>
        <item h="1" m="1" x="491"/>
        <item h="1" m="1" x="492"/>
        <item h="1" m="1" x="493"/>
        <item h="1" m="1" x="494"/>
        <item h="1" m="1" x="495"/>
        <item h="1" m="1" x="496"/>
        <item h="1" m="1" x="497"/>
        <item h="1" m="1" x="498"/>
        <item h="1" m="1" x="499"/>
        <item h="1" m="1" x="500"/>
        <item h="1" m="1" x="501"/>
        <item h="1" m="1" x="502"/>
        <item h="1" m="1" x="503"/>
        <item h="1" m="1" x="504"/>
        <item h="1" m="1" x="505"/>
        <item h="1" m="1" x="506"/>
        <item h="1" m="1" x="507"/>
        <item h="1" m="1" x="508"/>
        <item h="1" m="1" x="509"/>
        <item h="1" m="1" x="510"/>
        <item h="1" m="1" x="511"/>
        <item h="1" m="1" x="512"/>
        <item h="1" m="1" x="513"/>
        <item h="1" m="1" x="514"/>
        <item h="1" m="1" x="515"/>
        <item h="1" m="1" x="516"/>
        <item h="1" m="1" x="517"/>
        <item h="1" m="1" x="518"/>
        <item h="1" m="1" x="519"/>
        <item h="1" m="1" x="520"/>
        <item h="1" m="1" x="521"/>
        <item h="1" m="1" x="522"/>
        <item h="1" m="1" x="523"/>
        <item h="1" m="1" x="524"/>
        <item h="1" m="1" x="525"/>
        <item h="1" m="1" x="526"/>
        <item h="1" m="1" x="527"/>
        <item h="1" m="1" x="528"/>
        <item h="1" m="1" x="529"/>
        <item h="1" m="1" x="530"/>
        <item h="1" m="1" x="531"/>
        <item h="1" m="1" x="532"/>
        <item h="1" m="1" x="533"/>
        <item h="1" m="1" x="534"/>
        <item h="1" m="1" x="535"/>
        <item h="1" m="1" x="536"/>
        <item h="1" m="1" x="537"/>
        <item h="1" m="1" x="538"/>
        <item h="1" m="1" x="539"/>
        <item h="1" m="1" x="540"/>
        <item h="1" m="1" x="541"/>
        <item h="1" m="1" x="542"/>
        <item h="1" m="1" x="543"/>
        <item h="1" m="1" x="544"/>
        <item h="1" m="1" x="545"/>
        <item h="1" m="1" x="546"/>
        <item h="1" m="1" x="547"/>
        <item h="1" m="1" x="548"/>
        <item h="1" m="1" x="549"/>
        <item h="1" m="1" x="550"/>
        <item h="1" m="1" x="551"/>
        <item h="1" m="1" x="552"/>
        <item h="1" m="1" x="553"/>
        <item h="1" m="1" x="554"/>
        <item h="1" m="1" x="555"/>
        <item h="1" m="1" x="556"/>
        <item h="1" m="1" x="557"/>
        <item h="1" m="1" x="558"/>
        <item h="1" m="1" x="559"/>
        <item h="1" m="1" x="560"/>
        <item h="1" m="1" x="561"/>
        <item h="1" m="1" x="562"/>
        <item h="1" m="1" x="563"/>
        <item h="1" m="1" x="564"/>
        <item h="1" m="1" x="565"/>
        <item h="1" m="1" x="566"/>
        <item h="1" m="1" x="567"/>
        <item h="1" m="1" x="568"/>
        <item h="1" m="1" x="569"/>
        <item h="1" m="1" x="570"/>
        <item h="1" m="1" x="571"/>
        <item h="1" m="1" x="572"/>
        <item h="1" m="1" x="573"/>
        <item h="1" m="1" x="574"/>
        <item h="1" m="1" x="575"/>
        <item h="1" m="1" x="576"/>
        <item h="1" m="1" x="577"/>
        <item h="1" m="1" x="578"/>
        <item h="1" m="1" x="579"/>
        <item h="1" m="1" x="580"/>
        <item h="1" m="1" x="581"/>
        <item h="1" m="1" x="582"/>
        <item h="1" m="1" x="583"/>
        <item h="1" m="1" x="584"/>
        <item h="1" m="1" x="585"/>
        <item h="1" m="1" x="586"/>
        <item h="1" m="1" x="587"/>
        <item h="1" m="1" x="588"/>
        <item h="1" m="1" x="589"/>
        <item h="1" m="1" x="590"/>
        <item h="1" m="1" x="591"/>
        <item h="1" m="1" x="592"/>
        <item h="1" m="1" x="593"/>
        <item h="1" m="1" x="594"/>
        <item h="1" m="1" x="595"/>
        <item h="1" m="1" x="596"/>
        <item h="1" m="1" x="597"/>
        <item h="1" m="1" x="598"/>
        <item h="1" m="1" x="599"/>
        <item h="1" m="1" x="600"/>
        <item h="1" m="1" x="601"/>
        <item h="1" m="1" x="602"/>
        <item h="1" m="1" x="603"/>
        <item h="1" m="1" x="604"/>
        <item h="1" m="1" x="605"/>
        <item h="1" m="1" x="606"/>
        <item h="1" m="1" x="607"/>
        <item h="1" m="1" x="608"/>
        <item h="1" m="1" x="609"/>
        <item h="1" m="1" x="610"/>
        <item h="1" m="1" x="611"/>
        <item h="1" m="1" x="612"/>
        <item h="1" m="1" x="613"/>
        <item h="1" m="1" x="614"/>
        <item h="1" m="1" x="615"/>
        <item h="1" m="1" x="616"/>
        <item h="1" m="1" x="617"/>
        <item h="1" m="1" x="618"/>
        <item h="1" m="1" x="619"/>
        <item h="1" m="1" x="620"/>
        <item h="1" m="1" x="621"/>
        <item h="1" m="1" x="622"/>
        <item h="1" m="1" x="623"/>
        <item h="1" m="1" x="624"/>
        <item h="1" m="1" x="625"/>
        <item h="1" m="1" x="626"/>
        <item h="1" m="1" x="627"/>
        <item h="1" m="1" x="628"/>
        <item h="1" m="1" x="629"/>
        <item h="1" m="1" x="630"/>
        <item h="1" m="1" x="631"/>
        <item h="1" m="1" x="632"/>
        <item h="1" m="1" x="633"/>
        <item h="1" m="1" x="634"/>
        <item h="1" m="1" x="635"/>
        <item h="1" m="1" x="636"/>
        <item h="1" m="1" x="637"/>
        <item h="1" m="1" x="638"/>
        <item h="1" m="1" x="639"/>
        <item h="1" m="1" x="640"/>
        <item h="1" m="1" x="641"/>
        <item h="1" m="1" x="642"/>
        <item h="1" m="1" x="643"/>
        <item h="1" m="1" x="644"/>
        <item h="1" m="1" x="645"/>
        <item h="1" m="1" x="646"/>
        <item h="1" m="1" x="647"/>
        <item h="1" m="1" x="648"/>
        <item h="1" m="1" x="649"/>
        <item h="1" m="1" x="650"/>
        <item h="1" m="1" x="651"/>
        <item h="1" m="1" x="652"/>
        <item h="1" m="1" x="653"/>
        <item h="1" m="1" x="654"/>
        <item h="1" m="1" x="655"/>
        <item h="1" m="1" x="656"/>
        <item h="1" m="1" x="657"/>
        <item h="1" m="1" x="658"/>
        <item h="1" m="1" x="659"/>
        <item h="1" m="1" x="660"/>
        <item h="1" m="1" x="661"/>
        <item h="1" m="1" x="662"/>
        <item h="1" m="1" x="663"/>
        <item h="1" m="1" x="664"/>
        <item h="1" m="1" x="665"/>
        <item h="1" m="1" x="666"/>
        <item h="1" m="1" x="667"/>
        <item h="1" m="1" x="668"/>
        <item h="1" m="1" x="669"/>
        <item h="1" m="1" x="670"/>
        <item h="1" m="1" x="671"/>
        <item h="1" m="1" x="672"/>
        <item h="1" m="1" x="673"/>
        <item h="1" m="1" x="674"/>
        <item h="1" m="1" x="675"/>
        <item h="1" m="1" x="676"/>
        <item h="1" m="1" x="677"/>
        <item h="1" m="1" x="678"/>
        <item h="1" m="1" x="679"/>
        <item h="1" m="1" x="680"/>
        <item h="1" m="1" x="681"/>
        <item h="1" m="1" x="682"/>
        <item h="1" m="1" x="683"/>
        <item h="1" m="1" x="684"/>
        <item h="1" m="1" x="685"/>
        <item h="1" m="1" x="686"/>
        <item h="1" m="1" x="687"/>
        <item h="1" m="1" x="688"/>
        <item h="1" m="1" x="689"/>
        <item h="1" m="1" x="690"/>
        <item h="1" m="1" x="691"/>
        <item h="1" m="1" x="692"/>
        <item h="1" m="1" x="693"/>
        <item h="1" m="1" x="694"/>
        <item h="1" m="1" x="695"/>
        <item h="1" m="1" x="696"/>
        <item h="1" m="1" x="697"/>
        <item h="1" m="1" x="698"/>
        <item h="1" m="1" x="699"/>
        <item h="1" m="1" x="700"/>
        <item h="1" m="1" x="701"/>
        <item h="1" m="1" x="702"/>
        <item h="1" m="1" x="703"/>
        <item h="1" m="1" x="704"/>
        <item h="1" m="1" x="705"/>
        <item h="1" m="1" x="706"/>
        <item h="1" m="1" x="707"/>
        <item h="1" m="1" x="708"/>
        <item h="1" m="1" x="709"/>
        <item h="1" m="1" x="710"/>
        <item h="1" m="1" x="711"/>
        <item h="1" m="1" x="712"/>
        <item h="1" m="1" x="713"/>
        <item h="1" m="1" x="714"/>
        <item h="1" m="1" x="715"/>
        <item h="1" m="1" x="716"/>
        <item h="1" m="1" x="717"/>
        <item h="1" m="1" x="718"/>
        <item h="1" m="1" x="719"/>
        <item h="1" m="1" x="720"/>
        <item h="1" m="1" x="721"/>
        <item h="1" m="1" x="722"/>
        <item h="1" m="1" x="723"/>
        <item h="1" m="1" x="724"/>
        <item h="1" m="1" x="725"/>
        <item h="1" m="1" x="726"/>
        <item h="1" m="1" x="727"/>
        <item h="1" m="1" x="728"/>
        <item h="1" m="1" x="729"/>
        <item h="1" m="1" x="730"/>
        <item h="1" m="1" x="731"/>
        <item h="1" m="1" x="732"/>
        <item h="1" m="1" x="733"/>
        <item h="1" m="1" x="734"/>
        <item h="1" m="1" x="735"/>
        <item h="1" m="1" x="736"/>
        <item h="1" m="1" x="737"/>
        <item h="1" m="1" x="738"/>
        <item h="1" m="1" x="739"/>
        <item h="1" m="1" x="740"/>
        <item h="1" m="1" x="741"/>
        <item h="1" m="1" x="742"/>
        <item h="1" m="1" x="743"/>
        <item h="1" m="1" x="744"/>
        <item h="1" m="1" x="745"/>
        <item h="1" m="1" x="746"/>
        <item h="1" m="1" x="747"/>
        <item h="1" m="1" x="748"/>
        <item h="1" m="1" x="749"/>
        <item h="1" m="1" x="750"/>
        <item h="1" m="1" x="751"/>
        <item h="1" m="1" x="752"/>
        <item h="1" m="1" x="753"/>
        <item h="1" m="1" x="754"/>
        <item h="1" m="1" x="755"/>
        <item h="1" m="1" x="756"/>
        <item h="1" m="1" x="757"/>
        <item h="1" m="1" x="758"/>
        <item h="1" m="1" x="759"/>
        <item h="1" m="1" x="760"/>
        <item h="1" m="1" x="761"/>
        <item h="1" m="1" x="762"/>
        <item h="1" m="1" x="763"/>
        <item h="1" m="1" x="764"/>
        <item h="1" m="1" x="765"/>
        <item h="1" m="1" x="766"/>
        <item h="1" m="1" x="767"/>
        <item h="1" m="1" x="768"/>
        <item h="1" m="1" x="769"/>
        <item h="1" m="1" x="770"/>
        <item h="1" m="1" x="771"/>
        <item h="1" m="1" x="772"/>
        <item h="1" m="1" x="773"/>
        <item h="1" m="1" x="774"/>
        <item h="1" m="1" x="775"/>
        <item h="1" m="1" x="776"/>
        <item h="1" m="1" x="777"/>
        <item h="1" m="1" x="778"/>
        <item h="1" m="1" x="779"/>
        <item h="1" m="1" x="780"/>
        <item h="1" m="1" x="781"/>
        <item h="1" m="1" x="782"/>
        <item h="1" m="1" x="783"/>
        <item h="1" m="1" x="784"/>
        <item h="1" m="1" x="785"/>
        <item h="1" m="1" x="786"/>
        <item h="1" m="1" x="787"/>
        <item h="1" m="1" x="788"/>
        <item h="1" m="1" x="789"/>
        <item h="1" m="1" x="790"/>
        <item h="1" m="1" x="791"/>
        <item h="1" m="1" x="792"/>
        <item h="1" m="1" x="793"/>
        <item h="1" m="1" x="794"/>
        <item h="1" m="1" x="795"/>
        <item h="1" m="1" x="796"/>
        <item h="1" m="1" x="797"/>
        <item h="1" m="1" x="798"/>
        <item h="1" m="1" x="799"/>
        <item h="1" m="1" x="800"/>
        <item h="1" m="1" x="801"/>
        <item h="1" m="1" x="802"/>
        <item h="1" m="1" x="803"/>
        <item h="1" m="1" x="804"/>
        <item h="1" m="1" x="805"/>
        <item h="1" m="1" x="806"/>
        <item h="1" m="1" x="807"/>
        <item h="1" m="1" x="808"/>
        <item h="1" m="1" x="809"/>
        <item h="1" m="1" x="810"/>
        <item h="1" m="1" x="811"/>
        <item h="1" m="1" x="812"/>
        <item h="1" m="1" x="813"/>
        <item h="1" m="1" x="814"/>
        <item h="1" m="1" x="815"/>
        <item h="1" m="1" x="816"/>
        <item h="1" m="1" x="817"/>
        <item h="1" m="1" x="818"/>
        <item h="1" m="1" x="819"/>
        <item h="1" m="1" x="820"/>
        <item h="1" m="1" x="821"/>
        <item h="1" m="1" x="822"/>
        <item h="1" m="1" x="823"/>
        <item h="1" m="1" x="824"/>
        <item h="1" m="1" x="825"/>
        <item h="1" m="1" x="826"/>
        <item h="1" m="1" x="827"/>
        <item h="1" m="1" x="828"/>
        <item h="1" m="1" x="829"/>
        <item h="1" m="1" x="830"/>
        <item h="1" m="1" x="831"/>
        <item h="1" m="1" x="832"/>
        <item h="1" m="1" x="833"/>
        <item h="1" m="1" x="834"/>
        <item h="1" m="1" x="835"/>
        <item h="1" m="1" x="836"/>
        <item h="1" m="1" x="837"/>
        <item h="1" m="1" x="838"/>
        <item h="1" m="1" x="839"/>
        <item h="1" m="1" x="840"/>
        <item h="1" m="1" x="841"/>
        <item h="1" m="1" x="842"/>
        <item h="1" m="1" x="843"/>
        <item h="1" m="1" x="844"/>
        <item h="1" m="1" x="845"/>
        <item h="1" m="1" x="846"/>
        <item h="1" m="1" x="847"/>
        <item h="1" m="1" x="848"/>
        <item h="1" m="1" x="849"/>
        <item h="1" m="1" x="850"/>
        <item h="1" m="1" x="851"/>
        <item h="1" m="1" x="852"/>
        <item h="1" m="1" x="853"/>
        <item h="1" m="1" x="854"/>
        <item h="1" m="1" x="855"/>
        <item h="1" m="1" x="856"/>
        <item h="1" m="1" x="857"/>
        <item h="1" m="1" x="858"/>
        <item h="1" m="1" x="859"/>
        <item h="1" m="1" x="860"/>
        <item h="1" m="1" x="861"/>
        <item h="1" m="1" x="862"/>
        <item h="1" m="1" x="863"/>
        <item h="1" m="1" x="864"/>
        <item h="1" m="1" x="865"/>
        <item h="1" m="1" x="866"/>
        <item h="1" m="1" x="867"/>
        <item h="1" m="1" x="868"/>
        <item h="1" m="1" x="869"/>
        <item h="1" m="1" x="870"/>
        <item h="1" m="1" x="871"/>
        <item h="1" m="1" x="872"/>
        <item h="1" m="1" x="873"/>
        <item h="1" m="1" x="874"/>
        <item h="1" m="1" x="875"/>
        <item h="1" m="1" x="876"/>
        <item h="1" m="1" x="877"/>
        <item h="1" m="1" x="878"/>
        <item h="1" m="1" x="879"/>
        <item h="1" m="1" x="880"/>
        <item h="1" m="1" x="881"/>
        <item h="1" m="1" x="882"/>
        <item h="1" m="1" x="883"/>
        <item h="1" m="1" x="884"/>
        <item h="1" m="1" x="885"/>
        <item h="1" m="1" x="886"/>
        <item h="1" m="1" x="887"/>
        <item h="1" m="1" x="888"/>
        <item h="1" m="1" x="889"/>
        <item h="1" m="1" x="890"/>
        <item h="1" m="1" x="891"/>
        <item h="1" m="1" x="892"/>
        <item h="1" m="1" x="893"/>
        <item h="1" m="1" x="894"/>
        <item h="1" m="1" x="895"/>
        <item h="1" m="1" x="896"/>
        <item h="1" m="1" x="897"/>
        <item h="1" m="1" x="898"/>
        <item h="1" m="1" x="899"/>
        <item h="1" m="1" x="900"/>
        <item h="1" m="1" x="901"/>
        <item h="1" m="1" x="902"/>
        <item h="1" m="1" x="903"/>
        <item h="1" m="1" x="904"/>
        <item h="1" m="1" x="905"/>
        <item h="1" m="1" x="906"/>
        <item h="1" m="1" x="907"/>
        <item h="1" m="1" x="908"/>
        <item h="1" m="1" x="909"/>
        <item h="1" m="1" x="910"/>
        <item h="1" m="1" x="911"/>
        <item h="1" m="1" x="912"/>
        <item h="1" m="1" x="913"/>
        <item h="1" m="1" x="914"/>
        <item h="1" m="1" x="915"/>
        <item h="1" m="1" x="916"/>
        <item h="1" m="1" x="917"/>
        <item h="1" m="1" x="918"/>
        <item h="1" m="1" x="919"/>
        <item h="1" m="1" x="920"/>
        <item h="1" m="1" x="921"/>
        <item h="1" m="1" x="922"/>
        <item h="1" m="1" x="923"/>
        <item h="1" m="1" x="924"/>
        <item h="1" m="1" x="925"/>
        <item h="1" m="1" x="926"/>
        <item h="1" m="1" x="927"/>
        <item h="1" m="1" x="928"/>
        <item h="1" m="1" x="929"/>
        <item h="1" m="1" x="930"/>
        <item h="1" m="1" x="931"/>
        <item h="1" m="1" x="932"/>
        <item h="1" m="1" x="933"/>
        <item h="1" m="1" x="934"/>
        <item h="1" m="1" x="935"/>
        <item h="1" m="1" x="936"/>
        <item h="1" m="1" x="937"/>
        <item h="1" m="1" x="938"/>
        <item h="1" m="1" x="939"/>
        <item h="1" m="1" x="940"/>
        <item h="1" m="1" x="941"/>
        <item h="1" m="1" x="942"/>
        <item h="1" m="1" x="943"/>
        <item h="1" m="1" x="944"/>
        <item h="1" m="1" x="945"/>
        <item h="1" m="1" x="946"/>
        <item h="1" m="1" x="947"/>
        <item h="1" m="1" x="948"/>
        <item h="1" m="1" x="949"/>
        <item h="1" m="1" x="950"/>
        <item h="1" m="1" x="951"/>
        <item h="1" m="1" x="952"/>
        <item h="1" m="1" x="953"/>
        <item h="1" m="1" x="954"/>
        <item h="1" m="1" x="955"/>
        <item h="1" m="1" x="956"/>
        <item h="1" m="1" x="957"/>
        <item h="1" m="1" x="958"/>
        <item h="1" m="1" x="959"/>
        <item h="1" m="1" x="960"/>
        <item h="1" m="1" x="961"/>
        <item h="1" m="1" x="962"/>
        <item h="1" m="1" x="963"/>
        <item h="1" m="1" x="964"/>
        <item t="default"/>
      </items>
    </pivotField>
    <pivotField showAll="0"/>
    <pivotField showAll="0"/>
    <pivotField showAll="0"/>
    <pivotField showAll="0"/>
    <pivotField axis="axisRow" showAll="0" sortType="descending">
      <items count="128">
        <item m="1" x="100"/>
        <item m="1" x="120"/>
        <item m="1" x="116"/>
        <item m="1" x="119"/>
        <item m="1" x="108"/>
        <item m="1" x="118"/>
        <item m="1" x="110"/>
        <item m="1" x="105"/>
        <item m="1" x="117"/>
        <item m="1" x="115"/>
        <item m="1" x="97"/>
        <item m="1" x="112"/>
        <item m="1" x="114"/>
        <item m="1" x="96"/>
        <item m="1" x="107"/>
        <item m="1" x="92"/>
        <item m="1" x="99"/>
        <item m="1" x="125"/>
        <item m="1" x="111"/>
        <item m="1" x="95"/>
        <item m="1" x="123"/>
        <item m="1" x="104"/>
        <item m="1" x="113"/>
        <item m="1" x="69"/>
        <item m="1" x="121"/>
        <item m="1" x="68"/>
        <item m="1" x="90"/>
        <item m="1" x="74"/>
        <item m="1" x="73"/>
        <item m="1" x="71"/>
        <item m="1" x="101"/>
        <item m="1" x="70"/>
        <item m="1" x="109"/>
        <item m="1" x="103"/>
        <item m="1" x="76"/>
        <item m="1" x="87"/>
        <item m="1" x="84"/>
        <item m="1" x="79"/>
        <item m="1" x="86"/>
        <item m="1" x="80"/>
        <item m="1" x="78"/>
        <item m="1" x="82"/>
        <item m="1" x="81"/>
        <item m="1" x="77"/>
        <item m="1" x="106"/>
        <item m="1" x="98"/>
        <item m="1" x="83"/>
        <item m="1" x="126"/>
        <item m="1" x="124"/>
        <item m="1" x="88"/>
        <item m="1" x="93"/>
        <item m="1" x="63"/>
        <item m="1" x="91"/>
        <item m="1" x="75"/>
        <item m="1" x="102"/>
        <item m="1" x="67"/>
        <item m="1" x="85"/>
        <item m="1" x="122"/>
        <item m="1" x="64"/>
        <item m="1" x="72"/>
        <item m="1" x="94"/>
        <item m="1" x="65"/>
        <item m="1" x="66"/>
        <item m="1" x="89"/>
        <item m="1" x="27"/>
        <item x="5"/>
        <item m="1" x="16"/>
        <item m="1" x="19"/>
        <item m="1" x="40"/>
        <item m="1" x="11"/>
        <item m="1" x="41"/>
        <item m="1" x="10"/>
        <item m="1" x="32"/>
        <item m="1" x="47"/>
        <item m="1" x="48"/>
        <item m="1" x="17"/>
        <item m="1" x="18"/>
        <item m="1" x="42"/>
        <item m="1" x="14"/>
        <item m="1" x="44"/>
        <item m="1" x="45"/>
        <item m="1" x="58"/>
        <item m="1" x="13"/>
        <item m="1" x="52"/>
        <item m="1" x="49"/>
        <item m="1" x="53"/>
        <item m="1" x="43"/>
        <item m="1" x="59"/>
        <item m="1" x="55"/>
        <item m="1" x="20"/>
        <item m="1" x="56"/>
        <item m="1" x="21"/>
        <item m="1" x="26"/>
        <item m="1" x="57"/>
        <item m="1" x="60"/>
        <item m="1" x="61"/>
        <item m="1" x="50"/>
        <item m="1" x="62"/>
        <item m="1" x="46"/>
        <item m="1" x="33"/>
        <item m="1" x="51"/>
        <item m="1" x="35"/>
        <item m="1" x="54"/>
        <item m="1" x="23"/>
        <item x="0"/>
        <item x="1"/>
        <item x="2"/>
        <item x="3"/>
        <item x="4"/>
        <item x="6"/>
        <item x="7"/>
        <item m="1" x="8"/>
        <item m="1" x="9"/>
        <item m="1" x="12"/>
        <item m="1" x="15"/>
        <item m="1" x="22"/>
        <item m="1" x="24"/>
        <item m="1" x="25"/>
        <item m="1" x="28"/>
        <item m="1" x="29"/>
        <item m="1" x="30"/>
        <item m="1" x="31"/>
        <item m="1" x="34"/>
        <item m="1" x="36"/>
        <item m="1" x="37"/>
        <item m="1" x="38"/>
        <item m="1" x="3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22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2">
    <field x="4"/>
    <field x="9"/>
  </rowFields>
  <rowItems count="3">
    <i>
      <x v="7"/>
    </i>
    <i r="1">
      <x v="106"/>
    </i>
    <i r="1">
      <x v="105"/>
    </i>
  </rowItems>
  <colFields count="1">
    <field x="2"/>
  </colFields>
  <colItems count="2">
    <i>
      <x v="1"/>
    </i>
    <i t="grand">
      <x/>
    </i>
  </colItems>
  <pageFields count="1">
    <pageField fld="1" hier="-1"/>
  </pageFields>
  <dataFields count="1">
    <dataField name="效率达成" fld="55" baseField="9" baseItem="2" numFmtId="176"/>
  </dataFields>
  <formats count="12">
    <format dxfId="74">
      <pivotArea collapsedLevelsAreSubtotals="1" fieldPosition="0">
        <references count="1">
          <reference field="4" count="1">
            <x v="0"/>
          </reference>
        </references>
      </pivotArea>
    </format>
    <format dxfId="73">
      <pivotArea collapsedLevelsAreSubtotals="1" fieldPosition="0">
        <references count="2">
          <reference field="4" count="1" selected="0">
            <x v="0"/>
          </reference>
          <reference field="9" count="11">
            <x v="1"/>
            <x v="2"/>
            <x v="3"/>
            <x v="4"/>
            <x v="5"/>
            <x v="6"/>
            <x v="7"/>
            <x v="9"/>
            <x v="11"/>
            <x v="14"/>
            <x v="15"/>
          </reference>
        </references>
      </pivotArea>
    </format>
    <format dxfId="72">
      <pivotArea collapsedLevelsAreSubtotals="1" fieldPosition="0">
        <references count="1">
          <reference field="4" count="1">
            <x v="2"/>
          </reference>
        </references>
      </pivotArea>
    </format>
    <format dxfId="71">
      <pivotArea dataOnly="0" labelOnly="1" fieldPosition="0">
        <references count="1">
          <reference field="2" count="0"/>
        </references>
      </pivotArea>
    </format>
    <format dxfId="70">
      <pivotArea outline="0" collapsedLevelsAreSubtotals="1" fieldPosition="0"/>
    </format>
    <format dxfId="69">
      <pivotArea dataOnly="0" labelOnly="1" fieldPosition="0">
        <references count="1">
          <reference field="4" count="0"/>
        </references>
      </pivotArea>
    </format>
    <format dxfId="68">
      <pivotArea dataOnly="0" labelOnly="1" fieldPosition="0">
        <references count="2">
          <reference field="4" count="1" selected="0">
            <x v="0"/>
          </reference>
          <reference field="9" count="11">
            <x v="1"/>
            <x v="2"/>
            <x v="3"/>
            <x v="4"/>
            <x v="5"/>
            <x v="6"/>
            <x v="7"/>
            <x v="9"/>
            <x v="11"/>
            <x v="14"/>
            <x v="15"/>
          </reference>
        </references>
      </pivotArea>
    </format>
    <format dxfId="67">
      <pivotArea dataOnly="0" labelOnly="1" fieldPosition="0">
        <references count="2">
          <reference field="4" count="1" selected="0">
            <x v="2"/>
          </reference>
          <reference field="9" count="11">
            <x v="1"/>
            <x v="2"/>
            <x v="3"/>
            <x v="4"/>
            <x v="5"/>
            <x v="6"/>
            <x v="7"/>
            <x v="9"/>
            <x v="11"/>
            <x v="13"/>
            <x v="15"/>
          </reference>
        </references>
      </pivotArea>
    </format>
    <format dxfId="66">
      <pivotArea collapsedLevelsAreSubtotals="1" fieldPosition="0">
        <references count="2">
          <reference field="4" count="0" selected="0"/>
          <reference field="9" count="2">
            <x v="81"/>
            <x v="82"/>
          </reference>
        </references>
      </pivotArea>
    </format>
    <format dxfId="65">
      <pivotArea dataOnly="0" labelOnly="1" fieldPosition="0">
        <references count="2">
          <reference field="4" count="0" selected="0"/>
          <reference field="9" count="2">
            <x v="81"/>
            <x v="82"/>
          </reference>
        </references>
      </pivotArea>
    </format>
    <format dxfId="64">
      <pivotArea collapsedLevelsAreSubtotals="1" fieldPosition="0">
        <references count="2">
          <reference field="4" count="0" selected="0"/>
          <reference field="9" count="1">
            <x v="67"/>
          </reference>
        </references>
      </pivotArea>
    </format>
    <format dxfId="63">
      <pivotArea dataOnly="0" labelOnly="1" fieldPosition="0">
        <references count="2">
          <reference field="4" count="0" selected="0"/>
          <reference field="9" count="1">
            <x v="67"/>
          </reference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5D0B77-2346-4375-99EF-BC0BF00E8C36}" name="数据透视表5" cacheId="0" applyNumberFormats="0" applyBorderFormats="0" applyFontFormats="0" applyPatternFormats="0" applyAlignmentFormats="0" applyWidthHeightFormats="1" dataCaption="值" errorCaption="---" showError="1" updatedVersion="8" minRefreshableVersion="3" useAutoFormatting="1" rowGrandTotals="0" itemPrintTitles="1" createdVersion="7" indent="0" outline="1" outlineData="1" multipleFieldFilters="0" rowHeaderCaption="后场/一体化" colHeaderCaption="">
  <location ref="A3:C9" firstHeaderRow="1" firstDataRow="2" firstDataCol="1" rowPageCount="1" colPageCount="1"/>
  <pivotFields count="56">
    <pivotField axis="axisPage" showAll="0">
      <items count="5">
        <item m="1" x="3"/>
        <item m="1" x="2"/>
        <item m="1" x="1"/>
        <item x="0"/>
        <item t="default"/>
      </items>
    </pivotField>
    <pivotField axis="axisCol" numFmtId="14" showAll="0">
      <items count="2">
        <item x="0"/>
        <item t="default"/>
      </items>
    </pivotField>
    <pivotField showAll="0"/>
    <pivotField showAll="0"/>
    <pivotField axis="axisRow" showAll="0">
      <items count="971">
        <item m="1" x="967"/>
        <item h="1" m="1" x="966"/>
        <item x="0"/>
        <item h="1" m="1" x="965"/>
        <item h="1" m="1" x="968"/>
        <item h="1" m="1" x="969"/>
        <item h="1" x="1"/>
        <item h="1" x="2"/>
        <item h="1" m="1" x="3"/>
        <item h="1" m="1" x="4"/>
        <item h="1" m="1" x="5"/>
        <item h="1" m="1" x="6"/>
        <item h="1" m="1" x="7"/>
        <item h="1" m="1" x="8"/>
        <item h="1" m="1" x="9"/>
        <item h="1" m="1" x="10"/>
        <item h="1" m="1" x="11"/>
        <item h="1" m="1" x="12"/>
        <item h="1" m="1" x="13"/>
        <item h="1" m="1" x="14"/>
        <item h="1" m="1" x="15"/>
        <item h="1" m="1" x="16"/>
        <item h="1" m="1" x="17"/>
        <item h="1" m="1" x="18"/>
        <item h="1" m="1" x="19"/>
        <item h="1" m="1" x="20"/>
        <item h="1" m="1" x="21"/>
        <item h="1" m="1" x="22"/>
        <item h="1" m="1" x="23"/>
        <item h="1" m="1" x="24"/>
        <item h="1" m="1" x="25"/>
        <item h="1" m="1" x="26"/>
        <item h="1" m="1" x="27"/>
        <item h="1" m="1" x="28"/>
        <item h="1" m="1" x="29"/>
        <item h="1" m="1" x="30"/>
        <item h="1" m="1" x="31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h="1" m="1" x="62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151"/>
        <item h="1" m="1" x="152"/>
        <item h="1" m="1" x="153"/>
        <item h="1" m="1" x="154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82"/>
        <item h="1" m="1" x="183"/>
        <item h="1" m="1" x="184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211"/>
        <item h="1" m="1" x="212"/>
        <item h="1" m="1" x="213"/>
        <item h="1" m="1" x="214"/>
        <item h="1" m="1" x="215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243"/>
        <item h="1" m="1" x="244"/>
        <item h="1" m="1" x="245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73"/>
        <item h="1" m="1" x="274"/>
        <item h="1" m="1" x="275"/>
        <item h="1" m="1" x="276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304"/>
        <item h="1" m="1" x="305"/>
        <item h="1" m="1" x="306"/>
        <item h="1" m="1" x="307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335"/>
        <item h="1" m="1" x="336"/>
        <item h="1" m="1" x="337"/>
        <item h="1" m="1" x="338"/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63"/>
        <item h="1" m="1" x="364"/>
        <item h="1" m="1" x="365"/>
        <item h="1" m="1" x="366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95"/>
        <item h="1" m="1" x="396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425"/>
        <item h="1" m="1" x="426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456"/>
        <item h="1" m="1" x="457"/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86"/>
        <item h="1" m="1" x="487"/>
        <item h="1" m="1" x="488"/>
        <item h="1" m="1" x="489"/>
        <item h="1" m="1" x="490"/>
        <item h="1" m="1" x="491"/>
        <item h="1" m="1" x="492"/>
        <item h="1" m="1" x="493"/>
        <item h="1" m="1" x="494"/>
        <item h="1" m="1" x="495"/>
        <item h="1" m="1" x="496"/>
        <item h="1" m="1" x="497"/>
        <item h="1" m="1" x="498"/>
        <item h="1" m="1" x="499"/>
        <item h="1" m="1" x="500"/>
        <item h="1" m="1" x="501"/>
        <item h="1" m="1" x="502"/>
        <item h="1" m="1" x="503"/>
        <item h="1" m="1" x="504"/>
        <item h="1" m="1" x="505"/>
        <item h="1" m="1" x="506"/>
        <item h="1" m="1" x="507"/>
        <item h="1" m="1" x="508"/>
        <item h="1" m="1" x="509"/>
        <item h="1" m="1" x="510"/>
        <item h="1" m="1" x="511"/>
        <item h="1" m="1" x="512"/>
        <item h="1" m="1" x="513"/>
        <item h="1" m="1" x="514"/>
        <item h="1" m="1" x="515"/>
        <item h="1" m="1" x="516"/>
        <item h="1" m="1" x="517"/>
        <item h="1" m="1" x="518"/>
        <item h="1" m="1" x="519"/>
        <item h="1" m="1" x="520"/>
        <item h="1" m="1" x="521"/>
        <item h="1" m="1" x="522"/>
        <item h="1" m="1" x="523"/>
        <item h="1" m="1" x="524"/>
        <item h="1" m="1" x="525"/>
        <item h="1" m="1" x="526"/>
        <item h="1" m="1" x="527"/>
        <item h="1" m="1" x="528"/>
        <item h="1" m="1" x="529"/>
        <item h="1" m="1" x="530"/>
        <item h="1" m="1" x="531"/>
        <item h="1" m="1" x="532"/>
        <item h="1" m="1" x="533"/>
        <item h="1" m="1" x="534"/>
        <item h="1" m="1" x="535"/>
        <item h="1" m="1" x="536"/>
        <item h="1" m="1" x="537"/>
        <item h="1" m="1" x="538"/>
        <item h="1" m="1" x="539"/>
        <item h="1" m="1" x="540"/>
        <item h="1" m="1" x="541"/>
        <item h="1" m="1" x="542"/>
        <item h="1" m="1" x="543"/>
        <item h="1" m="1" x="544"/>
        <item h="1" m="1" x="545"/>
        <item h="1" m="1" x="546"/>
        <item h="1" m="1" x="547"/>
        <item h="1" m="1" x="548"/>
        <item h="1" m="1" x="549"/>
        <item h="1" m="1" x="550"/>
        <item h="1" m="1" x="551"/>
        <item h="1" m="1" x="552"/>
        <item h="1" m="1" x="553"/>
        <item h="1" m="1" x="554"/>
        <item h="1" m="1" x="555"/>
        <item h="1" m="1" x="556"/>
        <item h="1" m="1" x="557"/>
        <item h="1" m="1" x="558"/>
        <item h="1" m="1" x="559"/>
        <item h="1" m="1" x="560"/>
        <item h="1" m="1" x="561"/>
        <item h="1" m="1" x="562"/>
        <item h="1" m="1" x="563"/>
        <item h="1" m="1" x="564"/>
        <item h="1" m="1" x="565"/>
        <item h="1" m="1" x="566"/>
        <item h="1" m="1" x="567"/>
        <item h="1" m="1" x="568"/>
        <item h="1" m="1" x="569"/>
        <item h="1" m="1" x="570"/>
        <item h="1" m="1" x="571"/>
        <item h="1" m="1" x="572"/>
        <item h="1" m="1" x="573"/>
        <item h="1" m="1" x="574"/>
        <item h="1" m="1" x="575"/>
        <item h="1" m="1" x="576"/>
        <item h="1" m="1" x="577"/>
        <item h="1" m="1" x="578"/>
        <item h="1" m="1" x="579"/>
        <item h="1" m="1" x="580"/>
        <item h="1" m="1" x="581"/>
        <item h="1" m="1" x="582"/>
        <item h="1" m="1" x="583"/>
        <item h="1" m="1" x="584"/>
        <item h="1" m="1" x="585"/>
        <item h="1" m="1" x="586"/>
        <item h="1" m="1" x="587"/>
        <item h="1" m="1" x="588"/>
        <item h="1" m="1" x="589"/>
        <item h="1" m="1" x="590"/>
        <item h="1" m="1" x="591"/>
        <item h="1" m="1" x="592"/>
        <item h="1" m="1" x="593"/>
        <item h="1" m="1" x="594"/>
        <item h="1" m="1" x="595"/>
        <item h="1" m="1" x="596"/>
        <item h="1" m="1" x="597"/>
        <item h="1" m="1" x="598"/>
        <item h="1" m="1" x="599"/>
        <item h="1" m="1" x="600"/>
        <item h="1" m="1" x="601"/>
        <item h="1" m="1" x="602"/>
        <item h="1" m="1" x="603"/>
        <item h="1" m="1" x="604"/>
        <item h="1" m="1" x="605"/>
        <item h="1" m="1" x="606"/>
        <item h="1" m="1" x="607"/>
        <item h="1" m="1" x="608"/>
        <item h="1" m="1" x="609"/>
        <item h="1" m="1" x="610"/>
        <item h="1" m="1" x="611"/>
        <item h="1" m="1" x="612"/>
        <item h="1" m="1" x="613"/>
        <item h="1" m="1" x="614"/>
        <item h="1" m="1" x="615"/>
        <item h="1" m="1" x="616"/>
        <item h="1" m="1" x="617"/>
        <item h="1" m="1" x="618"/>
        <item h="1" m="1" x="619"/>
        <item h="1" m="1" x="620"/>
        <item h="1" m="1" x="621"/>
        <item h="1" m="1" x="622"/>
        <item h="1" m="1" x="623"/>
        <item h="1" m="1" x="624"/>
        <item h="1" m="1" x="625"/>
        <item h="1" m="1" x="626"/>
        <item h="1" m="1" x="627"/>
        <item h="1" m="1" x="628"/>
        <item h="1" m="1" x="629"/>
        <item h="1" m="1" x="630"/>
        <item h="1" m="1" x="631"/>
        <item h="1" m="1" x="632"/>
        <item h="1" m="1" x="633"/>
        <item h="1" m="1" x="634"/>
        <item h="1" m="1" x="635"/>
        <item h="1" m="1" x="636"/>
        <item h="1" m="1" x="637"/>
        <item h="1" m="1" x="638"/>
        <item h="1" m="1" x="639"/>
        <item h="1" m="1" x="640"/>
        <item h="1" m="1" x="641"/>
        <item h="1" m="1" x="642"/>
        <item h="1" m="1" x="643"/>
        <item h="1" m="1" x="644"/>
        <item h="1" m="1" x="645"/>
        <item h="1" m="1" x="646"/>
        <item h="1" m="1" x="647"/>
        <item h="1" m="1" x="648"/>
        <item h="1" m="1" x="649"/>
        <item h="1" m="1" x="650"/>
        <item h="1" m="1" x="651"/>
        <item h="1" m="1" x="652"/>
        <item h="1" m="1" x="653"/>
        <item h="1" m="1" x="654"/>
        <item h="1" m="1" x="655"/>
        <item h="1" m="1" x="656"/>
        <item h="1" m="1" x="657"/>
        <item h="1" m="1" x="658"/>
        <item h="1" m="1" x="659"/>
        <item h="1" m="1" x="660"/>
        <item h="1" m="1" x="661"/>
        <item h="1" m="1" x="662"/>
        <item h="1" m="1" x="663"/>
        <item h="1" m="1" x="664"/>
        <item h="1" m="1" x="665"/>
        <item h="1" m="1" x="666"/>
        <item h="1" m="1" x="667"/>
        <item h="1" m="1" x="668"/>
        <item h="1" m="1" x="669"/>
        <item h="1" m="1" x="670"/>
        <item h="1" m="1" x="671"/>
        <item h="1" m="1" x="672"/>
        <item h="1" m="1" x="673"/>
        <item h="1" m="1" x="674"/>
        <item h="1" m="1" x="675"/>
        <item h="1" m="1" x="676"/>
        <item h="1" m="1" x="677"/>
        <item h="1" m="1" x="678"/>
        <item h="1" m="1" x="679"/>
        <item h="1" m="1" x="680"/>
        <item h="1" m="1" x="681"/>
        <item h="1" m="1" x="682"/>
        <item h="1" m="1" x="683"/>
        <item h="1" m="1" x="684"/>
        <item h="1" m="1" x="685"/>
        <item h="1" m="1" x="686"/>
        <item h="1" m="1" x="687"/>
        <item h="1" m="1" x="688"/>
        <item h="1" m="1" x="689"/>
        <item h="1" m="1" x="690"/>
        <item h="1" m="1" x="691"/>
        <item h="1" m="1" x="692"/>
        <item h="1" m="1" x="693"/>
        <item h="1" m="1" x="694"/>
        <item h="1" m="1" x="695"/>
        <item h="1" m="1" x="696"/>
        <item h="1" m="1" x="697"/>
        <item h="1" m="1" x="698"/>
        <item h="1" m="1" x="699"/>
        <item h="1" m="1" x="700"/>
        <item h="1" m="1" x="701"/>
        <item h="1" m="1" x="702"/>
        <item h="1" m="1" x="703"/>
        <item h="1" m="1" x="704"/>
        <item h="1" m="1" x="705"/>
        <item h="1" m="1" x="706"/>
        <item h="1" m="1" x="707"/>
        <item h="1" m="1" x="708"/>
        <item h="1" m="1" x="709"/>
        <item h="1" m="1" x="710"/>
        <item h="1" m="1" x="711"/>
        <item h="1" m="1" x="712"/>
        <item h="1" m="1" x="713"/>
        <item h="1" m="1" x="714"/>
        <item h="1" m="1" x="715"/>
        <item h="1" m="1" x="716"/>
        <item h="1" m="1" x="717"/>
        <item h="1" m="1" x="718"/>
        <item h="1" m="1" x="719"/>
        <item h="1" m="1" x="720"/>
        <item h="1" m="1" x="721"/>
        <item h="1" m="1" x="722"/>
        <item h="1" m="1" x="723"/>
        <item h="1" m="1" x="724"/>
        <item h="1" m="1" x="725"/>
        <item h="1" m="1" x="726"/>
        <item h="1" m="1" x="727"/>
        <item h="1" m="1" x="728"/>
        <item h="1" m="1" x="729"/>
        <item h="1" m="1" x="730"/>
        <item h="1" m="1" x="731"/>
        <item h="1" m="1" x="732"/>
        <item h="1" m="1" x="733"/>
        <item h="1" m="1" x="734"/>
        <item h="1" m="1" x="735"/>
        <item h="1" m="1" x="736"/>
        <item h="1" m="1" x="737"/>
        <item h="1" m="1" x="738"/>
        <item h="1" m="1" x="739"/>
        <item h="1" m="1" x="740"/>
        <item h="1" m="1" x="741"/>
        <item h="1" m="1" x="742"/>
        <item h="1" m="1" x="743"/>
        <item h="1" m="1" x="744"/>
        <item h="1" m="1" x="745"/>
        <item h="1" m="1" x="746"/>
        <item h="1" m="1" x="747"/>
        <item h="1" m="1" x="748"/>
        <item h="1" m="1" x="749"/>
        <item h="1" m="1" x="750"/>
        <item h="1" m="1" x="751"/>
        <item h="1" m="1" x="752"/>
        <item h="1" m="1" x="753"/>
        <item h="1" m="1" x="754"/>
        <item h="1" m="1" x="755"/>
        <item h="1" m="1" x="756"/>
        <item h="1" m="1" x="757"/>
        <item h="1" m="1" x="758"/>
        <item h="1" m="1" x="759"/>
        <item h="1" m="1" x="760"/>
        <item h="1" m="1" x="761"/>
        <item h="1" m="1" x="762"/>
        <item h="1" m="1" x="763"/>
        <item h="1" m="1" x="764"/>
        <item h="1" m="1" x="765"/>
        <item h="1" m="1" x="766"/>
        <item h="1" m="1" x="767"/>
        <item h="1" m="1" x="768"/>
        <item h="1" m="1" x="769"/>
        <item h="1" m="1" x="770"/>
        <item h="1" m="1" x="771"/>
        <item h="1" m="1" x="772"/>
        <item h="1" m="1" x="773"/>
        <item h="1" m="1" x="774"/>
        <item h="1" m="1" x="775"/>
        <item h="1" m="1" x="776"/>
        <item h="1" m="1" x="777"/>
        <item h="1" m="1" x="778"/>
        <item h="1" m="1" x="779"/>
        <item h="1" m="1" x="780"/>
        <item h="1" m="1" x="781"/>
        <item h="1" m="1" x="782"/>
        <item h="1" m="1" x="783"/>
        <item h="1" m="1" x="784"/>
        <item h="1" m="1" x="785"/>
        <item h="1" m="1" x="786"/>
        <item h="1" m="1" x="787"/>
        <item h="1" m="1" x="788"/>
        <item h="1" m="1" x="789"/>
        <item h="1" m="1" x="790"/>
        <item h="1" m="1" x="791"/>
        <item h="1" m="1" x="792"/>
        <item h="1" m="1" x="793"/>
        <item h="1" m="1" x="794"/>
        <item h="1" m="1" x="795"/>
        <item h="1" m="1" x="796"/>
        <item h="1" m="1" x="797"/>
        <item h="1" m="1" x="798"/>
        <item h="1" m="1" x="799"/>
        <item h="1" m="1" x="800"/>
        <item h="1" m="1" x="801"/>
        <item h="1" m="1" x="802"/>
        <item h="1" m="1" x="803"/>
        <item h="1" m="1" x="804"/>
        <item h="1" m="1" x="805"/>
        <item h="1" m="1" x="806"/>
        <item h="1" m="1" x="807"/>
        <item h="1" m="1" x="808"/>
        <item h="1" m="1" x="809"/>
        <item h="1" m="1" x="810"/>
        <item h="1" m="1" x="811"/>
        <item h="1" m="1" x="812"/>
        <item h="1" m="1" x="813"/>
        <item h="1" m="1" x="814"/>
        <item h="1" m="1" x="815"/>
        <item h="1" m="1" x="816"/>
        <item h="1" m="1" x="817"/>
        <item h="1" m="1" x="818"/>
        <item h="1" m="1" x="819"/>
        <item h="1" m="1" x="820"/>
        <item h="1" m="1" x="821"/>
        <item h="1" m="1" x="822"/>
        <item h="1" m="1" x="823"/>
        <item h="1" m="1" x="824"/>
        <item h="1" m="1" x="825"/>
        <item h="1" m="1" x="826"/>
        <item h="1" m="1" x="827"/>
        <item h="1" m="1" x="828"/>
        <item h="1" m="1" x="829"/>
        <item h="1" m="1" x="830"/>
        <item h="1" m="1" x="831"/>
        <item h="1" m="1" x="832"/>
        <item h="1" m="1" x="833"/>
        <item h="1" m="1" x="834"/>
        <item h="1" m="1" x="835"/>
        <item h="1" m="1" x="836"/>
        <item h="1" m="1" x="837"/>
        <item h="1" m="1" x="838"/>
        <item h="1" m="1" x="839"/>
        <item h="1" m="1" x="840"/>
        <item h="1" m="1" x="841"/>
        <item h="1" m="1" x="842"/>
        <item h="1" m="1" x="843"/>
        <item h="1" m="1" x="844"/>
        <item h="1" m="1" x="845"/>
        <item h="1" m="1" x="846"/>
        <item h="1" m="1" x="847"/>
        <item h="1" m="1" x="848"/>
        <item h="1" m="1" x="849"/>
        <item h="1" m="1" x="850"/>
        <item h="1" m="1" x="851"/>
        <item h="1" m="1" x="852"/>
        <item h="1" m="1" x="853"/>
        <item h="1" m="1" x="854"/>
        <item h="1" m="1" x="855"/>
        <item h="1" m="1" x="856"/>
        <item h="1" m="1" x="857"/>
        <item h="1" m="1" x="858"/>
        <item h="1" m="1" x="859"/>
        <item h="1" m="1" x="860"/>
        <item h="1" m="1" x="861"/>
        <item h="1" m="1" x="862"/>
        <item h="1" m="1" x="863"/>
        <item h="1" m="1" x="864"/>
        <item h="1" m="1" x="865"/>
        <item h="1" m="1" x="866"/>
        <item h="1" m="1" x="867"/>
        <item h="1" m="1" x="868"/>
        <item h="1" m="1" x="869"/>
        <item h="1" m="1" x="870"/>
        <item h="1" m="1" x="871"/>
        <item h="1" m="1" x="872"/>
        <item h="1" m="1" x="873"/>
        <item h="1" m="1" x="874"/>
        <item h="1" m="1" x="875"/>
        <item h="1" m="1" x="876"/>
        <item h="1" m="1" x="877"/>
        <item h="1" m="1" x="878"/>
        <item h="1" m="1" x="879"/>
        <item h="1" m="1" x="880"/>
        <item h="1" m="1" x="881"/>
        <item h="1" m="1" x="882"/>
        <item h="1" m="1" x="883"/>
        <item h="1" m="1" x="884"/>
        <item h="1" m="1" x="885"/>
        <item h="1" m="1" x="886"/>
        <item h="1" m="1" x="887"/>
        <item h="1" m="1" x="888"/>
        <item h="1" m="1" x="889"/>
        <item h="1" m="1" x="890"/>
        <item h="1" m="1" x="891"/>
        <item h="1" m="1" x="892"/>
        <item h="1" m="1" x="893"/>
        <item h="1" m="1" x="894"/>
        <item h="1" m="1" x="895"/>
        <item h="1" m="1" x="896"/>
        <item h="1" m="1" x="897"/>
        <item h="1" m="1" x="898"/>
        <item h="1" m="1" x="899"/>
        <item h="1" m="1" x="900"/>
        <item h="1" m="1" x="901"/>
        <item h="1" m="1" x="902"/>
        <item h="1" m="1" x="903"/>
        <item h="1" m="1" x="904"/>
        <item h="1" m="1" x="905"/>
        <item h="1" m="1" x="906"/>
        <item h="1" m="1" x="907"/>
        <item h="1" m="1" x="908"/>
        <item h="1" m="1" x="909"/>
        <item h="1" m="1" x="910"/>
        <item h="1" m="1" x="911"/>
        <item h="1" m="1" x="912"/>
        <item h="1" m="1" x="913"/>
        <item h="1" m="1" x="914"/>
        <item h="1" m="1" x="915"/>
        <item h="1" m="1" x="916"/>
        <item h="1" m="1" x="917"/>
        <item h="1" m="1" x="918"/>
        <item h="1" m="1" x="919"/>
        <item h="1" m="1" x="920"/>
        <item h="1" m="1" x="921"/>
        <item h="1" m="1" x="922"/>
        <item h="1" m="1" x="923"/>
        <item h="1" m="1" x="924"/>
        <item h="1" m="1" x="925"/>
        <item h="1" m="1" x="926"/>
        <item h="1" m="1" x="927"/>
        <item h="1" m="1" x="928"/>
        <item h="1" m="1" x="929"/>
        <item h="1" m="1" x="930"/>
        <item h="1" m="1" x="931"/>
        <item h="1" m="1" x="932"/>
        <item h="1" m="1" x="933"/>
        <item h="1" m="1" x="934"/>
        <item h="1" m="1" x="935"/>
        <item h="1" m="1" x="936"/>
        <item h="1" m="1" x="937"/>
        <item h="1" m="1" x="938"/>
        <item h="1" m="1" x="939"/>
        <item h="1" m="1" x="940"/>
        <item h="1" m="1" x="941"/>
        <item h="1" m="1" x="942"/>
        <item h="1" m="1" x="943"/>
        <item h="1" m="1" x="944"/>
        <item h="1" m="1" x="945"/>
        <item h="1" m="1" x="946"/>
        <item h="1" m="1" x="947"/>
        <item h="1" m="1" x="948"/>
        <item h="1" m="1" x="949"/>
        <item h="1" m="1" x="950"/>
        <item h="1" m="1" x="951"/>
        <item h="1" m="1" x="952"/>
        <item h="1" m="1" x="953"/>
        <item h="1" m="1" x="954"/>
        <item h="1" m="1" x="955"/>
        <item h="1" m="1" x="956"/>
        <item h="1" m="1" x="957"/>
        <item h="1" m="1" x="958"/>
        <item h="1" m="1" x="959"/>
        <item h="1" m="1" x="960"/>
        <item h="1" m="1" x="961"/>
        <item h="1" m="1" x="962"/>
        <item h="1" m="1" x="963"/>
        <item h="1" m="1" x="964"/>
        <item t="default"/>
      </items>
    </pivotField>
    <pivotField showAll="0"/>
    <pivotField showAll="0"/>
    <pivotField showAll="0"/>
    <pivotField showAll="0"/>
    <pivotField axis="axisRow" showAll="0">
      <items count="128">
        <item m="1" x="100"/>
        <item m="1" x="120"/>
        <item m="1" x="116"/>
        <item m="1" x="119"/>
        <item m="1" x="108"/>
        <item m="1" x="118"/>
        <item m="1" x="110"/>
        <item m="1" x="105"/>
        <item m="1" x="117"/>
        <item m="1" x="115"/>
        <item m="1" x="97"/>
        <item m="1" x="112"/>
        <item m="1" x="114"/>
        <item m="1" x="96"/>
        <item m="1" x="107"/>
        <item m="1" x="92"/>
        <item m="1" x="99"/>
        <item m="1" x="125"/>
        <item m="1" x="111"/>
        <item m="1" x="95"/>
        <item m="1" x="123"/>
        <item m="1" x="104"/>
        <item m="1" x="113"/>
        <item m="1" x="69"/>
        <item m="1" x="121"/>
        <item m="1" x="68"/>
        <item m="1" x="90"/>
        <item m="1" x="74"/>
        <item m="1" x="73"/>
        <item m="1" x="71"/>
        <item m="1" x="101"/>
        <item m="1" x="70"/>
        <item m="1" x="109"/>
        <item m="1" x="103"/>
        <item m="1" x="76"/>
        <item m="1" x="87"/>
        <item m="1" x="84"/>
        <item m="1" x="79"/>
        <item m="1" x="86"/>
        <item m="1" x="80"/>
        <item m="1" x="78"/>
        <item m="1" x="82"/>
        <item m="1" x="81"/>
        <item m="1" x="77"/>
        <item m="1" x="106"/>
        <item m="1" x="98"/>
        <item m="1" x="83"/>
        <item m="1" x="126"/>
        <item m="1" x="124"/>
        <item m="1" x="88"/>
        <item m="1" x="93"/>
        <item m="1" x="63"/>
        <item m="1" x="91"/>
        <item m="1" x="75"/>
        <item m="1" x="102"/>
        <item m="1" x="67"/>
        <item m="1" x="85"/>
        <item m="1" x="122"/>
        <item m="1" x="64"/>
        <item m="1" x="72"/>
        <item m="1" x="94"/>
        <item m="1" x="65"/>
        <item m="1" x="66"/>
        <item m="1" x="89"/>
        <item m="1" x="27"/>
        <item x="5"/>
        <item m="1" x="16"/>
        <item m="1" x="19"/>
        <item m="1" x="40"/>
        <item m="1" x="11"/>
        <item m="1" x="41"/>
        <item m="1" x="10"/>
        <item m="1" x="32"/>
        <item m="1" x="47"/>
        <item m="1" x="48"/>
        <item m="1" x="17"/>
        <item m="1" x="18"/>
        <item m="1" x="42"/>
        <item m="1" x="14"/>
        <item m="1" x="44"/>
        <item m="1" x="45"/>
        <item m="1" x="58"/>
        <item m="1" x="13"/>
        <item m="1" x="52"/>
        <item m="1" x="49"/>
        <item m="1" x="53"/>
        <item m="1" x="43"/>
        <item m="1" x="59"/>
        <item m="1" x="55"/>
        <item m="1" x="20"/>
        <item m="1" x="56"/>
        <item m="1" x="21"/>
        <item m="1" x="26"/>
        <item m="1" x="57"/>
        <item m="1" x="60"/>
        <item m="1" x="61"/>
        <item m="1" x="50"/>
        <item m="1" x="62"/>
        <item m="1" x="46"/>
        <item m="1" x="33"/>
        <item m="1" x="51"/>
        <item m="1" x="35"/>
        <item m="1" x="54"/>
        <item m="1" x="23"/>
        <item x="0"/>
        <item x="1"/>
        <item x="2"/>
        <item x="3"/>
        <item x="4"/>
        <item x="6"/>
        <item x="7"/>
        <item m="1" x="8"/>
        <item m="1" x="9"/>
        <item m="1" x="12"/>
        <item m="1" x="15"/>
        <item m="1" x="22"/>
        <item m="1" x="24"/>
        <item m="1" x="25"/>
        <item m="1" x="28"/>
        <item m="1" x="29"/>
        <item m="1" x="30"/>
        <item m="1" x="31"/>
        <item m="1" x="34"/>
        <item m="1" x="36"/>
        <item m="1" x="37"/>
        <item m="1" x="38"/>
        <item m="1" x="39"/>
        <item t="default"/>
      </items>
    </pivotField>
    <pivotField numFmtId="22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2">
    <field x="4"/>
    <field x="9"/>
  </rowFields>
  <rowItems count="5">
    <i>
      <x v="2"/>
    </i>
    <i r="1">
      <x v="65"/>
    </i>
    <i r="1">
      <x v="104"/>
    </i>
    <i r="1">
      <x v="105"/>
    </i>
    <i r="1">
      <x v="106"/>
    </i>
  </rowItems>
  <colFields count="1">
    <field x="1"/>
  </colFields>
  <colItems count="2">
    <i>
      <x/>
    </i>
    <i t="grand">
      <x/>
    </i>
  </colItems>
  <pageFields count="1">
    <pageField fld="0" item="3" hier="-1"/>
  </pageFields>
  <dataFields count="1">
    <dataField name="效率达成" fld="55" baseField="9" baseItem="2" numFmtId="176"/>
  </dataFields>
  <formats count="9">
    <format dxfId="8">
      <pivotArea collapsedLevelsAreSubtotals="1" fieldPosition="0">
        <references count="1">
          <reference field="4" count="1">
            <x v="0"/>
          </reference>
        </references>
      </pivotArea>
    </format>
    <format dxfId="7">
      <pivotArea collapsedLevelsAreSubtotals="1" fieldPosition="0">
        <references count="2">
          <reference field="4" count="1" selected="0">
            <x v="0"/>
          </reference>
          <reference field="9" count="11">
            <x v="1"/>
            <x v="2"/>
            <x v="3"/>
            <x v="4"/>
            <x v="5"/>
            <x v="6"/>
            <x v="7"/>
            <x v="9"/>
            <x v="11"/>
            <x v="14"/>
            <x v="15"/>
          </reference>
        </references>
      </pivotArea>
    </format>
    <format dxfId="6">
      <pivotArea collapsedLevelsAreSubtotals="1" fieldPosition="0">
        <references count="1">
          <reference field="4" count="1">
            <x v="2"/>
          </reference>
        </references>
      </pivotArea>
    </format>
    <format dxfId="5">
      <pivotArea outline="0" collapsedLevelsAreSubtotals="1" fieldPosition="0"/>
    </format>
    <format dxfId="4">
      <pivotArea dataOnly="0" labelOnly="1" fieldPosition="0">
        <references count="1">
          <reference field="4" count="0"/>
        </references>
      </pivotArea>
    </format>
    <format dxfId="3">
      <pivotArea dataOnly="0" labelOnly="1" fieldPosition="0">
        <references count="2">
          <reference field="4" count="1" selected="0">
            <x v="0"/>
          </reference>
          <reference field="9" count="11">
            <x v="1"/>
            <x v="2"/>
            <x v="3"/>
            <x v="4"/>
            <x v="5"/>
            <x v="6"/>
            <x v="7"/>
            <x v="9"/>
            <x v="11"/>
            <x v="14"/>
            <x v="15"/>
          </reference>
        </references>
      </pivotArea>
    </format>
    <format dxfId="2">
      <pivotArea dataOnly="0" labelOnly="1" fieldPosition="0">
        <references count="2">
          <reference field="4" count="1" selected="0">
            <x v="2"/>
          </reference>
          <reference field="9" count="11">
            <x v="1"/>
            <x v="2"/>
            <x v="3"/>
            <x v="4"/>
            <x v="5"/>
            <x v="6"/>
            <x v="7"/>
            <x v="9"/>
            <x v="11"/>
            <x v="13"/>
            <x v="15"/>
          </reference>
        </references>
      </pivotArea>
    </format>
    <format dxfId="1">
      <pivotArea dataOnly="0" labelOnly="1" outline="0" fieldPosition="0">
        <references count="1">
          <reference field="0" count="1">
            <x v="0"/>
          </reference>
        </references>
      </pivotArea>
    </format>
    <format dxfId="0">
      <pivotArea dataOnly="0" labelOnly="1" outline="0" fieldPosition="0">
        <references count="1">
          <reference field="0" count="1">
            <x v="0"/>
          </reference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19C8D12-44A7-43CF-BB6C-B38F161A37CC}" autoFormatId="16" applyNumberFormats="0" applyBorderFormats="0" applyFontFormats="0" applyPatternFormats="0" applyAlignmentFormats="0" applyWidthHeightFormats="0">
  <queryTableRefresh nextId="88" unboundColumnsRight="40">
    <queryTableFields count="55">
      <queryTableField id="38" name="月份" tableColumnId="11"/>
      <queryTableField id="43" name="日期" tableColumnId="14"/>
      <queryTableField id="44" name="小时" tableColumnId="15"/>
      <queryTableField id="1" name="拣货单号" tableColumnId="1"/>
      <queryTableField id="42" dataBound="0" tableColumnId="13"/>
      <queryTableField id="2" name="批次单号" tableColumnId="2"/>
      <queryTableField id="3" name="任务子类型" tableColumnId="3"/>
      <queryTableField id="4" name="所属波次号" tableColumnId="4"/>
      <queryTableField id="5" name="拣货分区" tableColumnId="5"/>
      <queryTableField id="6" name="拣货人" tableColumnId="6"/>
      <queryTableField id="7" name="拣货开始时间" tableColumnId="7"/>
      <queryTableField id="8" name="拣货完成时间" tableColumnId="8"/>
      <queryTableField id="39" name="拣货时长" tableColumnId="12"/>
      <queryTableField id="9" name="拣货数量" tableColumnId="9"/>
      <queryTableField id="10" name="拣货行数" tableColumnId="10"/>
      <queryTableField id="48" dataBound="0" tableColumnId="16"/>
      <queryTableField id="49" dataBound="0" tableColumnId="17"/>
      <queryTableField id="50" dataBound="0" tableColumnId="18"/>
      <queryTableField id="51" dataBound="0" tableColumnId="19"/>
      <queryTableField id="52" dataBound="0" tableColumnId="20"/>
      <queryTableField id="53" dataBound="0" tableColumnId="21"/>
      <queryTableField id="54" dataBound="0" tableColumnId="22"/>
      <queryTableField id="55" dataBound="0" tableColumnId="23"/>
      <queryTableField id="56" dataBound="0" tableColumnId="24"/>
      <queryTableField id="57" dataBound="0" tableColumnId="25"/>
      <queryTableField id="58" dataBound="0" tableColumnId="26"/>
      <queryTableField id="59" dataBound="0" tableColumnId="27"/>
      <queryTableField id="60" dataBound="0" tableColumnId="28"/>
      <queryTableField id="61" dataBound="0" tableColumnId="29"/>
      <queryTableField id="62" dataBound="0" tableColumnId="30"/>
      <queryTableField id="63" dataBound="0" tableColumnId="31"/>
      <queryTableField id="64" dataBound="0" tableColumnId="32"/>
      <queryTableField id="65" dataBound="0" tableColumnId="33"/>
      <queryTableField id="66" dataBound="0" tableColumnId="34"/>
      <queryTableField id="67" dataBound="0" tableColumnId="35"/>
      <queryTableField id="68" dataBound="0" tableColumnId="36"/>
      <queryTableField id="69" dataBound="0" tableColumnId="37"/>
      <queryTableField id="70" dataBound="0" tableColumnId="38"/>
      <queryTableField id="71" dataBound="0" tableColumnId="39"/>
      <queryTableField id="72" dataBound="0" tableColumnId="40"/>
      <queryTableField id="73" dataBound="0" tableColumnId="41"/>
      <queryTableField id="74" dataBound="0" tableColumnId="42"/>
      <queryTableField id="75" dataBound="0" tableColumnId="43"/>
      <queryTableField id="76" dataBound="0" tableColumnId="44"/>
      <queryTableField id="77" dataBound="0" tableColumnId="45"/>
      <queryTableField id="78" dataBound="0" tableColumnId="46"/>
      <queryTableField id="79" dataBound="0" tableColumnId="47"/>
      <queryTableField id="80" dataBound="0" tableColumnId="48"/>
      <queryTableField id="81" dataBound="0" tableColumnId="49"/>
      <queryTableField id="82" dataBound="0" tableColumnId="50"/>
      <queryTableField id="83" dataBound="0" tableColumnId="51"/>
      <queryTableField id="84" dataBound="0" tableColumnId="52"/>
      <queryTableField id="85" dataBound="0" tableColumnId="53"/>
      <queryTableField id="86" dataBound="0" tableColumnId="54"/>
      <queryTableField id="87" dataBound="0" tableColumnId="5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2FF7FC4-92D4-42CB-B3E7-F5B93900485A}" name="前后场备注" displayName="前后场备注" ref="A1:B10" totalsRowShown="0">
  <autoFilter ref="A1:B10" xr:uid="{02FF7FC4-92D4-42CB-B3E7-F5B93900485A}"/>
  <tableColumns count="2">
    <tableColumn id="1" xr3:uid="{BD16837F-B58E-4559-88E9-1B30647585F1}" name="拣货分区"/>
    <tableColumn id="2" xr3:uid="{79D17406-BA4E-4DA8-9E81-595B47314658}" name="前后场分区" dataDxfId="6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FC4B9D-217B-42A8-8443-94F4B4B198F9}" name="拣货单明细" displayName="拣货单明细" ref="A1:BC29" tableType="queryTable" totalsRowShown="0">
  <autoFilter ref="A1:BC29" xr:uid="{7BFC4B9D-217B-42A8-8443-94F4B4B198F9}">
    <filterColumn colId="9">
      <filters>
        <filter val="李消"/>
      </filters>
    </filterColumn>
  </autoFilter>
  <tableColumns count="55">
    <tableColumn id="11" xr3:uid="{5D7E45C7-DE97-452C-9BF4-B8703289A9D9}" uniqueName="11" name="月份" queryTableFieldId="38"/>
    <tableColumn id="14" xr3:uid="{0BEF524A-5BB8-437D-B1E7-CCA446EA8461}" uniqueName="14" name="日期" queryTableFieldId="43" dataDxfId="61"/>
    <tableColumn id="15" xr3:uid="{638B485B-FDFC-4E24-8CC0-3883C7499266}" uniqueName="15" name="小时" queryTableFieldId="44"/>
    <tableColumn id="1" xr3:uid="{89C03A3F-8E70-4A8A-9A63-9CFC11766EAD}" uniqueName="1" name="拣货单号" queryTableFieldId="1" dataDxfId="60"/>
    <tableColumn id="13" xr3:uid="{C203B1E5-E812-43E1-B257-D2B5A179A499}" uniqueName="13" name="作业类型" queryTableFieldId="42" dataDxfId="59">
      <calculatedColumnFormula>IF(拣货单明细[[#This Row],[任务子类型]]="拆零拣打一体","一体化",VLOOKUP(拣货单明细[[#This Row],[拣货分区]],前后场备注[#All],2,0)&amp;"合流")</calculatedColumnFormula>
    </tableColumn>
    <tableColumn id="2" xr3:uid="{170DA054-AED4-4731-8751-56456D19820A}" uniqueName="2" name="批次单号" queryTableFieldId="2" dataDxfId="58"/>
    <tableColumn id="3" xr3:uid="{F734B6DC-ABF8-4B9F-80DC-8DA97EC122BC}" uniqueName="3" name="任务子类型" queryTableFieldId="3" dataDxfId="57"/>
    <tableColumn id="4" xr3:uid="{E278225C-5B30-4827-B00F-00111D0D11A4}" uniqueName="4" name="所属波次号" queryTableFieldId="4" dataDxfId="56"/>
    <tableColumn id="5" xr3:uid="{9BB90375-12F9-4769-B79F-20F6B0603402}" uniqueName="5" name="拣货分区" queryTableFieldId="5" dataDxfId="55"/>
    <tableColumn id="6" xr3:uid="{AFDCAE58-FE4D-4A71-8EEF-C7F3CECCFDFE}" uniqueName="6" name="拣货人" queryTableFieldId="6" dataDxfId="54"/>
    <tableColumn id="7" xr3:uid="{5D35F913-18B3-47DD-8792-B1E53A6EA0A7}" uniqueName="7" name="拣货开始时间" queryTableFieldId="7" dataDxfId="53"/>
    <tableColumn id="8" xr3:uid="{D8B2EBF9-B62F-493D-B1A1-F256031B920F}" uniqueName="8" name="拣货完成时间" queryTableFieldId="8" dataDxfId="52"/>
    <tableColumn id="12" xr3:uid="{3CC327A5-2774-496F-BA47-E7A3D4A3081E}" uniqueName="12" name="拣货时长" queryTableFieldId="39" dataDxfId="51"/>
    <tableColumn id="9" xr3:uid="{26BD93DE-2CB6-45BD-8C6B-22FA3CCE5B48}" uniqueName="9" name="拣货数量" queryTableFieldId="9" dataDxfId="50"/>
    <tableColumn id="10" xr3:uid="{784924C7-739E-41DC-8214-389C231B444E}" uniqueName="10" name="拣货行数" queryTableFieldId="10" dataDxfId="49"/>
    <tableColumn id="16" xr3:uid="{80667E50-D234-4047-A1CB-7EAC86598ABE}" uniqueName="16" name="列1" queryTableFieldId="48" dataDxfId="48"/>
    <tableColumn id="17" xr3:uid="{CEC9717E-F681-4D47-A49A-A992D192C005}" uniqueName="17" name="列2" queryTableFieldId="49" dataDxfId="47"/>
    <tableColumn id="18" xr3:uid="{C4A9D698-6C3B-4221-8263-CE9E93C29499}" uniqueName="18" name="列3" queryTableFieldId="50" dataDxfId="46"/>
    <tableColumn id="19" xr3:uid="{F0518D37-E065-4904-BCD5-3018B1173073}" uniqueName="19" name="列4" queryTableFieldId="51" dataDxfId="45"/>
    <tableColumn id="20" xr3:uid="{91D23FFC-78F0-4849-9D2E-6FDF5BE95F60}" uniqueName="20" name="列5" queryTableFieldId="52" dataDxfId="44"/>
    <tableColumn id="21" xr3:uid="{57CE5B12-FC99-4134-90CE-B866F04C6D04}" uniqueName="21" name="列6" queryTableFieldId="53" dataDxfId="43"/>
    <tableColumn id="22" xr3:uid="{05F0CE86-0AEF-437B-8E5D-A9B2C1DD5C0B}" uniqueName="22" name="列7" queryTableFieldId="54" dataDxfId="42"/>
    <tableColumn id="23" xr3:uid="{172051A6-C576-46D7-8609-40CE20E5ACC4}" uniqueName="23" name="列8" queryTableFieldId="55" dataDxfId="41"/>
    <tableColumn id="24" xr3:uid="{9869CE44-60D3-491A-9858-4F7FE4089EBC}" uniqueName="24" name="列9" queryTableFieldId="56" dataDxfId="40"/>
    <tableColumn id="25" xr3:uid="{BD9C9EB2-BF16-43D5-ACF1-9679930DEA54}" uniqueName="25" name="列10" queryTableFieldId="57" dataDxfId="39"/>
    <tableColumn id="26" xr3:uid="{70142424-0798-4F3F-8DA1-36FF7DD65DB9}" uniqueName="26" name="列11" queryTableFieldId="58" dataDxfId="38"/>
    <tableColumn id="27" xr3:uid="{75EA6631-CC89-4D4E-96BB-B402727BC994}" uniqueName="27" name="列12" queryTableFieldId="59" dataDxfId="37"/>
    <tableColumn id="28" xr3:uid="{DD97BC40-2B28-4DC1-A563-773D96C2FA19}" uniqueName="28" name="列13" queryTableFieldId="60" dataDxfId="36"/>
    <tableColumn id="29" xr3:uid="{27FBA643-5A3C-4DBE-85E6-1CFF5F427D9B}" uniqueName="29" name="列14" queryTableFieldId="61" dataDxfId="35"/>
    <tableColumn id="30" xr3:uid="{D30ADBF2-CB2E-4567-AE0D-7B9B781BC82D}" uniqueName="30" name="列15" queryTableFieldId="62" dataDxfId="34"/>
    <tableColumn id="31" xr3:uid="{60D3ACC0-82E3-491A-911E-FB058021928C}" uniqueName="31" name="列16" queryTableFieldId="63" dataDxfId="33"/>
    <tableColumn id="32" xr3:uid="{87144E14-3637-45A9-9E5D-BE09BCCA561B}" uniqueName="32" name="列17" queryTableFieldId="64" dataDxfId="32"/>
    <tableColumn id="33" xr3:uid="{85252356-130F-4613-BF70-0EDAE996E539}" uniqueName="33" name="列18" queryTableFieldId="65" dataDxfId="31"/>
    <tableColumn id="34" xr3:uid="{74E22F55-34FE-4E0A-BF5C-D1DFCBA78965}" uniqueName="34" name="列19" queryTableFieldId="66" dataDxfId="30"/>
    <tableColumn id="35" xr3:uid="{96B5B56E-8661-4365-B6BE-E5FF3DA72A34}" uniqueName="35" name="列20" queryTableFieldId="67" dataDxfId="29"/>
    <tableColumn id="36" xr3:uid="{1EEAE615-C2EE-4C56-B5C6-5E56FA2BC882}" uniqueName="36" name="列21" queryTableFieldId="68" dataDxfId="28"/>
    <tableColumn id="37" xr3:uid="{2E87D7BE-5FD2-456E-BB46-BA20AB02B21A}" uniqueName="37" name="列22" queryTableFieldId="69" dataDxfId="27"/>
    <tableColumn id="38" xr3:uid="{6D664935-20E8-4193-86D1-E09C3D1FD46B}" uniqueName="38" name="列23" queryTableFieldId="70" dataDxfId="26"/>
    <tableColumn id="39" xr3:uid="{D51EE16F-1B26-443B-A9B9-5CE57A33E92B}" uniqueName="39" name="列24" queryTableFieldId="71" dataDxfId="25"/>
    <tableColumn id="40" xr3:uid="{8C51B6C2-0424-4DF8-8F53-3A7D157FAE9E}" uniqueName="40" name="列25" queryTableFieldId="72" dataDxfId="24"/>
    <tableColumn id="41" xr3:uid="{CCFA632D-5516-46A9-9064-5B47EA3C5FE8}" uniqueName="41" name="列26" queryTableFieldId="73" dataDxfId="23"/>
    <tableColumn id="42" xr3:uid="{BEE86C81-04E5-45B5-9CC0-BBEA58F07714}" uniqueName="42" name="列27" queryTableFieldId="74" dataDxfId="22"/>
    <tableColumn id="43" xr3:uid="{D2D061E2-6072-48F0-A564-3B0F841B6401}" uniqueName="43" name="列28" queryTableFieldId="75" dataDxfId="21"/>
    <tableColumn id="44" xr3:uid="{5FE0F53F-99F3-4F28-8753-9EB4433899A1}" uniqueName="44" name="列29" queryTableFieldId="76" dataDxfId="20"/>
    <tableColumn id="45" xr3:uid="{291309F0-7983-46C0-B92A-8E918F32E440}" uniqueName="45" name="列30" queryTableFieldId="77" dataDxfId="19"/>
    <tableColumn id="46" xr3:uid="{7D4B83E0-4923-4AE3-BC2D-F89F5EB20863}" uniqueName="46" name="列31" queryTableFieldId="78" dataDxfId="18"/>
    <tableColumn id="47" xr3:uid="{BB973A3D-2A59-4768-BF1C-40042F9E4EAF}" uniqueName="47" name="列32" queryTableFieldId="79" dataDxfId="17"/>
    <tableColumn id="48" xr3:uid="{7D41B041-1541-44E0-A056-984331EB13CA}" uniqueName="48" name="列33" queryTableFieldId="80" dataDxfId="16"/>
    <tableColumn id="49" xr3:uid="{B4661F77-4239-44A2-A982-D4837865FEC8}" uniqueName="49" name="列34" queryTableFieldId="81" dataDxfId="15"/>
    <tableColumn id="50" xr3:uid="{C9C65B6F-D49E-4362-9338-A0AA03B3ECC0}" uniqueName="50" name="列35" queryTableFieldId="82" dataDxfId="14"/>
    <tableColumn id="51" xr3:uid="{4DB2E861-B376-4C34-8CB6-0D1C5042FF28}" uniqueName="51" name="列36" queryTableFieldId="83" dataDxfId="13"/>
    <tableColumn id="52" xr3:uid="{66EBAF9D-6994-476F-B4DD-4DE224666344}" uniqueName="52" name="列37" queryTableFieldId="84" dataDxfId="12"/>
    <tableColumn id="53" xr3:uid="{7E54C41B-73DA-4A75-B483-34F15EA8124F}" uniqueName="53" name="列38" queryTableFieldId="85" dataDxfId="11"/>
    <tableColumn id="54" xr3:uid="{6CF55D9A-C782-4E30-8877-44CB94EE90BF}" uniqueName="54" name="列39" queryTableFieldId="86" dataDxfId="10"/>
    <tableColumn id="55" xr3:uid="{DC61C8AB-0230-46E0-9E71-B13960A1B096}" uniqueName="55" name="列40" queryTableFieldId="87" dataDxf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14540-0D3C-4CDE-9AFD-8EE612D6E592}">
  <dimension ref="A1:A36"/>
  <sheetViews>
    <sheetView topLeftCell="A12" workbookViewId="0"/>
  </sheetViews>
  <sheetFormatPr defaultRowHeight="13.8" x14ac:dyDescent="0.25"/>
  <cols>
    <col min="1" max="1" width="107.33203125" customWidth="1"/>
  </cols>
  <sheetData>
    <row r="1" spans="1:1" x14ac:dyDescent="0.25">
      <c r="A1" t="s">
        <v>20</v>
      </c>
    </row>
    <row r="2" spans="1:1" x14ac:dyDescent="0.25">
      <c r="A2" t="s">
        <v>21</v>
      </c>
    </row>
    <row r="33" spans="1:1" x14ac:dyDescent="0.25">
      <c r="A33" t="s">
        <v>22</v>
      </c>
    </row>
    <row r="34" spans="1:1" x14ac:dyDescent="0.25">
      <c r="A34" t="s">
        <v>23</v>
      </c>
    </row>
    <row r="35" spans="1:1" x14ac:dyDescent="0.25">
      <c r="A35" t="s">
        <v>24</v>
      </c>
    </row>
    <row r="36" spans="1:1" x14ac:dyDescent="0.25">
      <c r="A36" t="s">
        <v>25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B8A99-0FA1-4B82-A341-25861E8B7EEB}">
  <sheetPr>
    <tabColor rgb="FFFF0000"/>
  </sheetPr>
  <dimension ref="A1:B10"/>
  <sheetViews>
    <sheetView workbookViewId="0">
      <selection activeCell="A2" sqref="A2:A5"/>
    </sheetView>
  </sheetViews>
  <sheetFormatPr defaultRowHeight="13.8" x14ac:dyDescent="0.25"/>
  <cols>
    <col min="1" max="1" width="49" bestFit="1" customWidth="1"/>
    <col min="2" max="2" width="16.109375" style="1" bestFit="1" customWidth="1"/>
  </cols>
  <sheetData>
    <row r="1" spans="1:2" x14ac:dyDescent="0.25">
      <c r="A1" t="s">
        <v>4</v>
      </c>
      <c r="B1" s="1" t="s">
        <v>10</v>
      </c>
    </row>
    <row r="2" spans="1:2" x14ac:dyDescent="0.25">
      <c r="A2" t="s">
        <v>29</v>
      </c>
      <c r="B2" s="1" t="s">
        <v>39</v>
      </c>
    </row>
    <row r="3" spans="1:2" x14ac:dyDescent="0.25">
      <c r="A3" t="s">
        <v>30</v>
      </c>
      <c r="B3" s="1" t="s">
        <v>38</v>
      </c>
    </row>
    <row r="4" spans="1:2" x14ac:dyDescent="0.25">
      <c r="A4" t="s">
        <v>32</v>
      </c>
      <c r="B4" s="1" t="s">
        <v>39</v>
      </c>
    </row>
    <row r="5" spans="1:2" x14ac:dyDescent="0.25">
      <c r="A5" t="s">
        <v>33</v>
      </c>
      <c r="B5" s="1" t="s">
        <v>39</v>
      </c>
    </row>
    <row r="6" spans="1:2" x14ac:dyDescent="0.25">
      <c r="A6" t="s">
        <v>34</v>
      </c>
      <c r="B6" s="1" t="s">
        <v>38</v>
      </c>
    </row>
    <row r="7" spans="1:2" x14ac:dyDescent="0.25">
      <c r="A7" t="s">
        <v>35</v>
      </c>
      <c r="B7" s="1" t="s">
        <v>39</v>
      </c>
    </row>
    <row r="8" spans="1:2" x14ac:dyDescent="0.25">
      <c r="A8" t="s">
        <v>36</v>
      </c>
      <c r="B8" s="1" t="s">
        <v>38</v>
      </c>
    </row>
    <row r="9" spans="1:2" x14ac:dyDescent="0.25">
      <c r="A9" t="s">
        <v>32</v>
      </c>
      <c r="B9" s="1" t="s">
        <v>39</v>
      </c>
    </row>
    <row r="10" spans="1:2" x14ac:dyDescent="0.25">
      <c r="A10" t="s">
        <v>37</v>
      </c>
      <c r="B10" s="1" t="s">
        <v>39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8934B-7755-4D2D-A768-9FA733C0F67A}">
  <dimension ref="A1:BC29"/>
  <sheetViews>
    <sheetView workbookViewId="0">
      <selection activeCell="G33" sqref="G33"/>
    </sheetView>
  </sheetViews>
  <sheetFormatPr defaultRowHeight="13.8" x14ac:dyDescent="0.25"/>
  <cols>
    <col min="1" max="1" width="7.77734375" bestFit="1" customWidth="1"/>
    <col min="2" max="2" width="10.109375" bestFit="1" customWidth="1"/>
    <col min="3" max="3" width="7.77734375" bestFit="1" customWidth="1"/>
    <col min="4" max="4" width="21.77734375" bestFit="1" customWidth="1"/>
    <col min="5" max="5" width="14" style="1" bestFit="1" customWidth="1"/>
    <col min="6" max="6" width="20.44140625" bestFit="1" customWidth="1"/>
    <col min="7" max="7" width="13.88671875" bestFit="1" customWidth="1"/>
    <col min="8" max="8" width="22.6640625" bestFit="1" customWidth="1"/>
    <col min="9" max="9" width="26.77734375" bestFit="1" customWidth="1"/>
    <col min="10" max="10" width="9.77734375" bestFit="1" customWidth="1"/>
    <col min="11" max="12" width="16.109375" bestFit="1" customWidth="1"/>
    <col min="13" max="13" width="12.77734375" bestFit="1" customWidth="1"/>
    <col min="14" max="15" width="11.77734375" bestFit="1" customWidth="1"/>
    <col min="16" max="16" width="6.88671875" bestFit="1" customWidth="1"/>
    <col min="17" max="17" width="19.88671875" bestFit="1" customWidth="1"/>
    <col min="18" max="18" width="7" bestFit="1" customWidth="1"/>
    <col min="19" max="19" width="6.88671875" bestFit="1" customWidth="1"/>
    <col min="20" max="20" width="35.88671875" bestFit="1" customWidth="1"/>
    <col min="21" max="23" width="6.88671875" bestFit="1" customWidth="1"/>
    <col min="24" max="24" width="9.5546875" bestFit="1" customWidth="1"/>
    <col min="25" max="32" width="8" bestFit="1" customWidth="1"/>
    <col min="33" max="33" width="9.5546875" bestFit="1" customWidth="1"/>
    <col min="34" max="50" width="8" bestFit="1" customWidth="1"/>
    <col min="51" max="51" width="19.109375" bestFit="1" customWidth="1"/>
    <col min="52" max="53" width="8" bestFit="1" customWidth="1"/>
    <col min="54" max="55" width="9.5546875" bestFit="1" customWidth="1"/>
  </cols>
  <sheetData>
    <row r="1" spans="1:55" x14ac:dyDescent="0.25">
      <c r="A1" t="s">
        <v>11</v>
      </c>
      <c r="B1" t="s">
        <v>14</v>
      </c>
      <c r="C1" t="s">
        <v>15</v>
      </c>
      <c r="D1" t="s">
        <v>0</v>
      </c>
      <c r="E1" s="1" t="s">
        <v>13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12</v>
      </c>
      <c r="N1" t="s">
        <v>8</v>
      </c>
      <c r="O1" t="s">
        <v>9</v>
      </c>
      <c r="P1" t="s">
        <v>103</v>
      </c>
      <c r="Q1" t="s">
        <v>104</v>
      </c>
      <c r="R1" t="s">
        <v>105</v>
      </c>
      <c r="S1" t="s">
        <v>106</v>
      </c>
      <c r="T1" t="s">
        <v>107</v>
      </c>
      <c r="U1" t="s">
        <v>108</v>
      </c>
      <c r="V1" t="s">
        <v>109</v>
      </c>
      <c r="W1" t="s">
        <v>110</v>
      </c>
      <c r="X1" t="s">
        <v>111</v>
      </c>
      <c r="Y1" t="s">
        <v>112</v>
      </c>
      <c r="Z1" t="s">
        <v>113</v>
      </c>
      <c r="AA1" t="s">
        <v>114</v>
      </c>
      <c r="AB1" t="s">
        <v>115</v>
      </c>
      <c r="AC1" t="s">
        <v>116</v>
      </c>
      <c r="AD1" t="s">
        <v>117</v>
      </c>
      <c r="AE1" t="s">
        <v>118</v>
      </c>
      <c r="AF1" t="s">
        <v>119</v>
      </c>
      <c r="AG1" t="s">
        <v>120</v>
      </c>
      <c r="AH1" t="s">
        <v>121</v>
      </c>
      <c r="AI1" t="s">
        <v>122</v>
      </c>
      <c r="AJ1" t="s">
        <v>123</v>
      </c>
      <c r="AK1" t="s">
        <v>124</v>
      </c>
      <c r="AL1" t="s">
        <v>125</v>
      </c>
      <c r="AM1" t="s">
        <v>126</v>
      </c>
      <c r="AN1" t="s">
        <v>127</v>
      </c>
      <c r="AO1" t="s">
        <v>128</v>
      </c>
      <c r="AP1" t="s">
        <v>129</v>
      </c>
      <c r="AQ1" t="s">
        <v>130</v>
      </c>
      <c r="AR1" t="s">
        <v>131</v>
      </c>
      <c r="AS1" t="s">
        <v>132</v>
      </c>
      <c r="AT1" t="s">
        <v>133</v>
      </c>
      <c r="AU1" t="s">
        <v>134</v>
      </c>
      <c r="AV1" t="s">
        <v>135</v>
      </c>
      <c r="AW1" t="s">
        <v>136</v>
      </c>
      <c r="AX1" t="s">
        <v>137</v>
      </c>
      <c r="AY1" t="s">
        <v>138</v>
      </c>
      <c r="AZ1" t="s">
        <v>139</v>
      </c>
      <c r="BA1" t="s">
        <v>140</v>
      </c>
      <c r="BB1" t="s">
        <v>141</v>
      </c>
      <c r="BC1" t="s">
        <v>142</v>
      </c>
    </row>
    <row r="2" spans="1:55" hidden="1" x14ac:dyDescent="0.25">
      <c r="A2">
        <v>7</v>
      </c>
      <c r="B2" s="2">
        <v>46233</v>
      </c>
      <c r="C2">
        <v>7</v>
      </c>
      <c r="D2" s="7" t="s">
        <v>143</v>
      </c>
      <c r="E2" s="1" t="str">
        <f>IF(拣货单明细[[#This Row],[任务子类型]]="拆零拣打一体","一体化",VLOOKUP(拣货单明细[[#This Row],[拣货分区]],前后场备注[#All],2,0)&amp;"合流")</f>
        <v>一体化</v>
      </c>
      <c r="F2" s="7" t="s">
        <v>144</v>
      </c>
      <c r="G2" s="7" t="s">
        <v>27</v>
      </c>
      <c r="H2" s="7" t="s">
        <v>145</v>
      </c>
      <c r="I2" s="7" t="s">
        <v>30</v>
      </c>
      <c r="J2" s="7" t="s">
        <v>146</v>
      </c>
      <c r="K2" s="8">
        <v>46233.294490740744</v>
      </c>
      <c r="L2" s="8">
        <v>46233.296631944446</v>
      </c>
      <c r="M2" s="7">
        <v>5.1388888888888887E-2</v>
      </c>
      <c r="N2" s="7">
        <v>10</v>
      </c>
      <c r="O2" s="7">
        <v>5</v>
      </c>
      <c r="P2" s="7" t="s">
        <v>17</v>
      </c>
      <c r="Q2" s="7" t="s">
        <v>41</v>
      </c>
      <c r="R2" s="7" t="s">
        <v>42</v>
      </c>
      <c r="S2" s="7" t="s">
        <v>43</v>
      </c>
      <c r="T2" s="7" t="s">
        <v>44</v>
      </c>
      <c r="U2" s="7" t="s">
        <v>45</v>
      </c>
      <c r="V2" s="7"/>
      <c r="W2" s="7" t="s">
        <v>46</v>
      </c>
      <c r="X2" s="7" t="s">
        <v>47</v>
      </c>
      <c r="Y2" s="7" t="s">
        <v>48</v>
      </c>
      <c r="Z2" s="7" t="s">
        <v>49</v>
      </c>
      <c r="AA2" s="7"/>
      <c r="AB2" s="7"/>
      <c r="AC2" s="7" t="s">
        <v>49</v>
      </c>
      <c r="AD2" s="7"/>
      <c r="AE2" s="7" t="s">
        <v>45</v>
      </c>
      <c r="AF2" s="7" t="s">
        <v>50</v>
      </c>
      <c r="AG2" s="7" t="s">
        <v>17</v>
      </c>
      <c r="AH2" s="7" t="s">
        <v>17</v>
      </c>
      <c r="AI2" s="7" t="s">
        <v>17</v>
      </c>
      <c r="AJ2" s="7" t="s">
        <v>17</v>
      </c>
      <c r="AK2" s="7" t="s">
        <v>17</v>
      </c>
      <c r="AL2" s="7"/>
      <c r="AM2" s="7"/>
      <c r="AN2" s="7"/>
      <c r="AO2" s="7"/>
      <c r="AP2" s="7" t="s">
        <v>17</v>
      </c>
      <c r="AQ2" s="7" t="s">
        <v>17</v>
      </c>
      <c r="AR2" s="7" t="s">
        <v>51</v>
      </c>
      <c r="AS2" s="7"/>
      <c r="AT2" s="7" t="s">
        <v>17</v>
      </c>
      <c r="AU2" s="7"/>
      <c r="AV2" s="7"/>
      <c r="AW2" s="7"/>
      <c r="AX2" s="7" t="s">
        <v>17</v>
      </c>
      <c r="AY2" s="7" t="s">
        <v>52</v>
      </c>
      <c r="AZ2" s="7" t="s">
        <v>53</v>
      </c>
      <c r="BA2" s="7" t="s">
        <v>53</v>
      </c>
      <c r="BB2" s="7" t="s">
        <v>54</v>
      </c>
      <c r="BC2" s="7" t="s">
        <v>55</v>
      </c>
    </row>
    <row r="3" spans="1:55" x14ac:dyDescent="0.25">
      <c r="A3">
        <v>7</v>
      </c>
      <c r="B3" s="2">
        <v>46233</v>
      </c>
      <c r="C3">
        <v>7</v>
      </c>
      <c r="D3" s="7" t="s">
        <v>147</v>
      </c>
      <c r="E3" s="1" t="str">
        <f>IF(拣货单明细[[#This Row],[任务子类型]]="拆零拣打一体","一体化",VLOOKUP(拣货单明细[[#This Row],[拣货分区]],前后场备注[#All],2,0)&amp;"合流")</f>
        <v>一体化</v>
      </c>
      <c r="F3" s="7" t="s">
        <v>148</v>
      </c>
      <c r="G3" s="7" t="s">
        <v>27</v>
      </c>
      <c r="H3" s="7" t="s">
        <v>149</v>
      </c>
      <c r="I3" s="7" t="s">
        <v>30</v>
      </c>
      <c r="J3" s="7" t="s">
        <v>150</v>
      </c>
      <c r="K3" s="8">
        <v>46233.298819444448</v>
      </c>
      <c r="L3" s="8">
        <v>46233.3</v>
      </c>
      <c r="M3" s="7">
        <v>2.8333333333333332E-2</v>
      </c>
      <c r="N3" s="7">
        <v>5</v>
      </c>
      <c r="O3" s="7">
        <v>5</v>
      </c>
      <c r="P3" s="7" t="s">
        <v>17</v>
      </c>
      <c r="Q3" s="7" t="s">
        <v>56</v>
      </c>
      <c r="R3" s="7" t="s">
        <v>57</v>
      </c>
      <c r="S3" s="7" t="s">
        <v>58</v>
      </c>
      <c r="T3" s="7" t="s">
        <v>44</v>
      </c>
      <c r="U3" s="7" t="s">
        <v>45</v>
      </c>
      <c r="V3" s="7"/>
      <c r="W3" s="7" t="s">
        <v>46</v>
      </c>
      <c r="X3" s="7" t="s">
        <v>59</v>
      </c>
      <c r="Y3" s="7" t="s">
        <v>48</v>
      </c>
      <c r="Z3" s="7" t="s">
        <v>49</v>
      </c>
      <c r="AA3" s="7"/>
      <c r="AB3" s="7"/>
      <c r="AC3" s="7" t="s">
        <v>49</v>
      </c>
      <c r="AD3" s="7"/>
      <c r="AE3" s="7" t="s">
        <v>45</v>
      </c>
      <c r="AF3" s="7" t="s">
        <v>60</v>
      </c>
      <c r="AG3" s="7" t="s">
        <v>17</v>
      </c>
      <c r="AH3" s="7" t="s">
        <v>17</v>
      </c>
      <c r="AI3" s="7" t="s">
        <v>17</v>
      </c>
      <c r="AJ3" s="7" t="s">
        <v>17</v>
      </c>
      <c r="AK3" s="7" t="s">
        <v>17</v>
      </c>
      <c r="AL3" s="7"/>
      <c r="AM3" s="7"/>
      <c r="AN3" s="7"/>
      <c r="AO3" s="7"/>
      <c r="AP3" s="7" t="s">
        <v>17</v>
      </c>
      <c r="AQ3" s="7" t="s">
        <v>17</v>
      </c>
      <c r="AR3" s="7" t="s">
        <v>51</v>
      </c>
      <c r="AS3" s="7"/>
      <c r="AT3" s="7" t="s">
        <v>17</v>
      </c>
      <c r="AU3" s="7"/>
      <c r="AV3" s="7"/>
      <c r="AW3" s="7"/>
      <c r="AX3" s="7" t="s">
        <v>17</v>
      </c>
      <c r="AY3" s="7" t="s">
        <v>52</v>
      </c>
      <c r="AZ3" s="7" t="s">
        <v>53</v>
      </c>
      <c r="BA3" s="7" t="s">
        <v>53</v>
      </c>
      <c r="BB3" s="7" t="s">
        <v>54</v>
      </c>
      <c r="BC3" s="7" t="s">
        <v>55</v>
      </c>
    </row>
    <row r="4" spans="1:55" hidden="1" x14ac:dyDescent="0.25">
      <c r="A4">
        <v>7</v>
      </c>
      <c r="B4" s="2">
        <v>46233</v>
      </c>
      <c r="C4">
        <v>7</v>
      </c>
      <c r="D4" s="7" t="s">
        <v>151</v>
      </c>
      <c r="E4" s="1" t="str">
        <f>IF(拣货单明细[[#This Row],[任务子类型]]="拆零拣打一体","一体化",VLOOKUP(拣货单明细[[#This Row],[拣货分区]],前后场备注[#All],2,0)&amp;"合流")</f>
        <v>一体化</v>
      </c>
      <c r="F4" s="7" t="s">
        <v>152</v>
      </c>
      <c r="G4" s="7" t="s">
        <v>27</v>
      </c>
      <c r="H4" s="7" t="s">
        <v>153</v>
      </c>
      <c r="I4" s="7" t="s">
        <v>30</v>
      </c>
      <c r="J4" s="7" t="s">
        <v>154</v>
      </c>
      <c r="K4" s="8">
        <v>46233.301736111112</v>
      </c>
      <c r="L4" s="8">
        <v>46233.302928240744</v>
      </c>
      <c r="M4" s="7">
        <v>2.8611111111111111E-2</v>
      </c>
      <c r="N4" s="7">
        <v>6</v>
      </c>
      <c r="O4" s="7">
        <v>6</v>
      </c>
      <c r="P4" s="7" t="s">
        <v>17</v>
      </c>
      <c r="Q4" s="7" t="s">
        <v>56</v>
      </c>
      <c r="R4" s="7" t="s">
        <v>61</v>
      </c>
      <c r="S4" s="7" t="s">
        <v>48</v>
      </c>
      <c r="T4" s="7" t="s">
        <v>44</v>
      </c>
      <c r="U4" s="7" t="s">
        <v>45</v>
      </c>
      <c r="V4" s="7"/>
      <c r="W4" s="7" t="s">
        <v>46</v>
      </c>
      <c r="X4" s="7" t="s">
        <v>59</v>
      </c>
      <c r="Y4" s="7" t="s">
        <v>48</v>
      </c>
      <c r="Z4" s="7" t="s">
        <v>49</v>
      </c>
      <c r="AA4" s="7"/>
      <c r="AB4" s="7"/>
      <c r="AC4" s="7" t="s">
        <v>49</v>
      </c>
      <c r="AD4" s="7"/>
      <c r="AE4" s="7" t="s">
        <v>45</v>
      </c>
      <c r="AF4" s="7" t="s">
        <v>62</v>
      </c>
      <c r="AG4" s="7" t="s">
        <v>17</v>
      </c>
      <c r="AH4" s="7" t="s">
        <v>17</v>
      </c>
      <c r="AI4" s="7" t="s">
        <v>17</v>
      </c>
      <c r="AJ4" s="7" t="s">
        <v>17</v>
      </c>
      <c r="AK4" s="7" t="s">
        <v>17</v>
      </c>
      <c r="AL4" s="7"/>
      <c r="AM4" s="7"/>
      <c r="AN4" s="7"/>
      <c r="AO4" s="7"/>
      <c r="AP4" s="7" t="s">
        <v>17</v>
      </c>
      <c r="AQ4" s="7" t="s">
        <v>17</v>
      </c>
      <c r="AR4" s="7" t="s">
        <v>51</v>
      </c>
      <c r="AS4" s="7"/>
      <c r="AT4" s="7" t="s">
        <v>17</v>
      </c>
      <c r="AU4" s="7"/>
      <c r="AV4" s="7"/>
      <c r="AW4" s="7"/>
      <c r="AX4" s="7" t="s">
        <v>17</v>
      </c>
      <c r="AY4" s="7" t="s">
        <v>52</v>
      </c>
      <c r="AZ4" s="7" t="s">
        <v>53</v>
      </c>
      <c r="BA4" s="7" t="s">
        <v>53</v>
      </c>
      <c r="BB4" s="7" t="s">
        <v>54</v>
      </c>
      <c r="BC4" s="7" t="s">
        <v>55</v>
      </c>
    </row>
    <row r="5" spans="1:55" hidden="1" x14ac:dyDescent="0.25">
      <c r="A5">
        <v>7</v>
      </c>
      <c r="B5" s="2">
        <v>46233</v>
      </c>
      <c r="C5">
        <v>7</v>
      </c>
      <c r="D5" s="7" t="s">
        <v>155</v>
      </c>
      <c r="E5" s="1" t="str">
        <f>IF(拣货单明细[[#This Row],[任务子类型]]="拆零拣打一体","一体化",VLOOKUP(拣货单明细[[#This Row],[拣货分区]],前后场备注[#All],2,0)&amp;"合流")</f>
        <v>前场合流合流</v>
      </c>
      <c r="F5" s="7" t="s">
        <v>156</v>
      </c>
      <c r="G5" s="7" t="s">
        <v>26</v>
      </c>
      <c r="H5" s="7" t="s">
        <v>157</v>
      </c>
      <c r="I5" s="7" t="s">
        <v>33</v>
      </c>
      <c r="J5" s="7" t="s">
        <v>158</v>
      </c>
      <c r="K5" s="8">
        <v>46233.304571759261</v>
      </c>
      <c r="L5" s="8">
        <v>46233.304988425924</v>
      </c>
      <c r="M5" s="7">
        <v>0.01</v>
      </c>
      <c r="N5" s="7">
        <v>2</v>
      </c>
      <c r="O5" s="7">
        <v>1</v>
      </c>
      <c r="P5" s="7" t="s">
        <v>17</v>
      </c>
      <c r="Q5" s="7" t="s">
        <v>56</v>
      </c>
      <c r="R5" s="7" t="s">
        <v>63</v>
      </c>
      <c r="S5" s="7" t="s">
        <v>64</v>
      </c>
      <c r="T5" s="7" t="s">
        <v>44</v>
      </c>
      <c r="U5" s="7" t="s">
        <v>45</v>
      </c>
      <c r="V5" s="7"/>
      <c r="W5" s="7" t="s">
        <v>46</v>
      </c>
      <c r="X5" s="7" t="s">
        <v>59</v>
      </c>
      <c r="Y5" s="7" t="s">
        <v>48</v>
      </c>
      <c r="Z5" s="7" t="s">
        <v>49</v>
      </c>
      <c r="AA5" s="7"/>
      <c r="AB5" s="7"/>
      <c r="AC5" s="7" t="s">
        <v>49</v>
      </c>
      <c r="AD5" s="7"/>
      <c r="AE5" s="7" t="s">
        <v>45</v>
      </c>
      <c r="AF5" s="7" t="s">
        <v>65</v>
      </c>
      <c r="AG5" s="7" t="s">
        <v>17</v>
      </c>
      <c r="AH5" s="7" t="s">
        <v>17</v>
      </c>
      <c r="AI5" s="7" t="s">
        <v>17</v>
      </c>
      <c r="AJ5" s="7" t="s">
        <v>17</v>
      </c>
      <c r="AK5" s="7" t="s">
        <v>17</v>
      </c>
      <c r="AL5" s="7"/>
      <c r="AM5" s="7"/>
      <c r="AN5" s="7"/>
      <c r="AO5" s="7"/>
      <c r="AP5" s="7" t="s">
        <v>17</v>
      </c>
      <c r="AQ5" s="7" t="s">
        <v>17</v>
      </c>
      <c r="AR5" s="7" t="s">
        <v>51</v>
      </c>
      <c r="AS5" s="7"/>
      <c r="AT5" s="7" t="s">
        <v>17</v>
      </c>
      <c r="AU5" s="7"/>
      <c r="AV5" s="7"/>
      <c r="AW5" s="7"/>
      <c r="AX5" s="7" t="s">
        <v>17</v>
      </c>
      <c r="AY5" s="7" t="s">
        <v>52</v>
      </c>
      <c r="AZ5" s="7" t="s">
        <v>53</v>
      </c>
      <c r="BA5" s="7" t="s">
        <v>53</v>
      </c>
      <c r="BB5" s="7" t="s">
        <v>54</v>
      </c>
      <c r="BC5" s="7" t="s">
        <v>55</v>
      </c>
    </row>
    <row r="6" spans="1:55" x14ac:dyDescent="0.25">
      <c r="A6">
        <v>7</v>
      </c>
      <c r="B6" s="2">
        <v>46233</v>
      </c>
      <c r="C6">
        <v>7</v>
      </c>
      <c r="D6" s="7" t="s">
        <v>159</v>
      </c>
      <c r="E6" s="1" t="str">
        <f>IF(拣货单明细[[#This Row],[任务子类型]]="拆零拣打一体","一体化",VLOOKUP(拣货单明细[[#This Row],[拣货分区]],前后场备注[#All],2,0)&amp;"合流")</f>
        <v>后场合流合流</v>
      </c>
      <c r="F6" s="7" t="s">
        <v>156</v>
      </c>
      <c r="G6" s="7" t="s">
        <v>26</v>
      </c>
      <c r="H6" s="7" t="s">
        <v>157</v>
      </c>
      <c r="I6" s="7" t="s">
        <v>30</v>
      </c>
      <c r="J6" s="7" t="s">
        <v>150</v>
      </c>
      <c r="K6" s="8">
        <v>46233.304965277777</v>
      </c>
      <c r="L6" s="8">
        <v>46233.306597222225</v>
      </c>
      <c r="M6" s="7">
        <v>3.9166666666666662E-2</v>
      </c>
      <c r="N6" s="7">
        <v>5</v>
      </c>
      <c r="O6" s="7">
        <v>5</v>
      </c>
      <c r="P6" s="7" t="s">
        <v>17</v>
      </c>
      <c r="Q6" s="7" t="s">
        <v>56</v>
      </c>
      <c r="R6" s="7" t="s">
        <v>61</v>
      </c>
      <c r="S6" s="7" t="s">
        <v>48</v>
      </c>
      <c r="T6" s="7" t="s">
        <v>44</v>
      </c>
      <c r="U6" s="7" t="s">
        <v>45</v>
      </c>
      <c r="V6" s="7"/>
      <c r="W6" s="7" t="s">
        <v>46</v>
      </c>
      <c r="X6" s="7" t="s">
        <v>59</v>
      </c>
      <c r="Y6" s="7" t="s">
        <v>48</v>
      </c>
      <c r="Z6" s="7" t="s">
        <v>49</v>
      </c>
      <c r="AA6" s="7"/>
      <c r="AB6" s="7"/>
      <c r="AC6" s="7" t="s">
        <v>49</v>
      </c>
      <c r="AD6" s="7"/>
      <c r="AE6" s="7" t="s">
        <v>45</v>
      </c>
      <c r="AF6" s="7" t="s">
        <v>62</v>
      </c>
      <c r="AG6" s="7" t="s">
        <v>17</v>
      </c>
      <c r="AH6" s="7" t="s">
        <v>17</v>
      </c>
      <c r="AI6" s="7" t="s">
        <v>17</v>
      </c>
      <c r="AJ6" s="7" t="s">
        <v>17</v>
      </c>
      <c r="AK6" s="7" t="s">
        <v>17</v>
      </c>
      <c r="AL6" s="7"/>
      <c r="AM6" s="7"/>
      <c r="AN6" s="7"/>
      <c r="AO6" s="7"/>
      <c r="AP6" s="7" t="s">
        <v>17</v>
      </c>
      <c r="AQ6" s="7" t="s">
        <v>17</v>
      </c>
      <c r="AR6" s="7" t="s">
        <v>51</v>
      </c>
      <c r="AS6" s="7"/>
      <c r="AT6" s="7" t="s">
        <v>17</v>
      </c>
      <c r="AU6" s="7"/>
      <c r="AV6" s="7"/>
      <c r="AW6" s="7"/>
      <c r="AX6" s="7" t="s">
        <v>17</v>
      </c>
      <c r="AY6" s="7" t="s">
        <v>52</v>
      </c>
      <c r="AZ6" s="7" t="s">
        <v>53</v>
      </c>
      <c r="BA6" s="7" t="s">
        <v>53</v>
      </c>
      <c r="BB6" s="7" t="s">
        <v>54</v>
      </c>
      <c r="BC6" s="7" t="s">
        <v>55</v>
      </c>
    </row>
    <row r="7" spans="1:55" hidden="1" x14ac:dyDescent="0.25">
      <c r="A7">
        <v>7</v>
      </c>
      <c r="B7" s="2">
        <v>46233</v>
      </c>
      <c r="C7">
        <v>7</v>
      </c>
      <c r="D7" s="7" t="s">
        <v>160</v>
      </c>
      <c r="E7" s="1" t="str">
        <f>IF(拣货单明细[[#This Row],[任务子类型]]="拆零拣打一体","一体化",VLOOKUP(拣货单明细[[#This Row],[拣货分区]],前后场备注[#All],2,0)&amp;"合流")</f>
        <v>前场合流合流</v>
      </c>
      <c r="F7" s="7" t="s">
        <v>161</v>
      </c>
      <c r="G7" s="7" t="s">
        <v>26</v>
      </c>
      <c r="H7" s="7" t="s">
        <v>162</v>
      </c>
      <c r="I7" s="7" t="s">
        <v>33</v>
      </c>
      <c r="J7" s="7" t="s">
        <v>163</v>
      </c>
      <c r="K7" s="8">
        <v>46233.301226851851</v>
      </c>
      <c r="L7" s="8">
        <v>46233.301412037035</v>
      </c>
      <c r="M7" s="7">
        <v>4.4444444444444444E-3</v>
      </c>
      <c r="N7" s="7">
        <v>1</v>
      </c>
      <c r="O7" s="7">
        <v>1</v>
      </c>
      <c r="P7" s="7" t="s">
        <v>17</v>
      </c>
      <c r="Q7" s="7" t="s">
        <v>66</v>
      </c>
      <c r="R7" s="7" t="s">
        <v>61</v>
      </c>
      <c r="S7" s="7" t="s">
        <v>48</v>
      </c>
      <c r="T7" s="7" t="s">
        <v>44</v>
      </c>
      <c r="U7" s="7" t="s">
        <v>45</v>
      </c>
      <c r="V7" s="7"/>
      <c r="W7" s="7" t="s">
        <v>46</v>
      </c>
      <c r="X7" s="7" t="s">
        <v>67</v>
      </c>
      <c r="Y7" s="7" t="s">
        <v>48</v>
      </c>
      <c r="Z7" s="7" t="s">
        <v>49</v>
      </c>
      <c r="AA7" s="7"/>
      <c r="AB7" s="7"/>
      <c r="AC7" s="7" t="s">
        <v>49</v>
      </c>
      <c r="AD7" s="7"/>
      <c r="AE7" s="7" t="s">
        <v>68</v>
      </c>
      <c r="AF7" s="7" t="s">
        <v>62</v>
      </c>
      <c r="AG7" s="7" t="s">
        <v>69</v>
      </c>
      <c r="AH7" s="7" t="s">
        <v>17</v>
      </c>
      <c r="AI7" s="7" t="s">
        <v>17</v>
      </c>
      <c r="AJ7" s="7" t="s">
        <v>17</v>
      </c>
      <c r="AK7" s="7" t="s">
        <v>17</v>
      </c>
      <c r="AL7" s="7"/>
      <c r="AM7" s="7"/>
      <c r="AN7" s="7"/>
      <c r="AO7" s="7"/>
      <c r="AP7" s="7" t="s">
        <v>17</v>
      </c>
      <c r="AQ7" s="7" t="s">
        <v>17</v>
      </c>
      <c r="AR7" s="7" t="s">
        <v>51</v>
      </c>
      <c r="AS7" s="7"/>
      <c r="AT7" s="7" t="s">
        <v>17</v>
      </c>
      <c r="AU7" s="7"/>
      <c r="AV7" s="7"/>
      <c r="AW7" s="7"/>
      <c r="AX7" s="7" t="s">
        <v>17</v>
      </c>
      <c r="AY7" s="7" t="s">
        <v>52</v>
      </c>
      <c r="AZ7" s="7" t="s">
        <v>53</v>
      </c>
      <c r="BA7" s="7" t="s">
        <v>53</v>
      </c>
      <c r="BB7" s="7" t="s">
        <v>54</v>
      </c>
      <c r="BC7" s="7" t="s">
        <v>55</v>
      </c>
    </row>
    <row r="8" spans="1:55" hidden="1" x14ac:dyDescent="0.25">
      <c r="A8">
        <v>7</v>
      </c>
      <c r="B8" s="2">
        <v>46233</v>
      </c>
      <c r="C8">
        <v>7</v>
      </c>
      <c r="D8" s="7" t="s">
        <v>164</v>
      </c>
      <c r="E8" s="1" t="str">
        <f>IF(拣货单明细[[#This Row],[任务子类型]]="拆零拣打一体","一体化",VLOOKUP(拣货单明细[[#This Row],[拣货分区]],前后场备注[#All],2,0)&amp;"合流")</f>
        <v>前场合流合流</v>
      </c>
      <c r="F8" s="7" t="s">
        <v>161</v>
      </c>
      <c r="G8" s="7" t="s">
        <v>26</v>
      </c>
      <c r="H8" s="7" t="s">
        <v>162</v>
      </c>
      <c r="I8" s="7" t="s">
        <v>35</v>
      </c>
      <c r="J8" s="7" t="s">
        <v>158</v>
      </c>
      <c r="K8" s="8">
        <v>46233.301111111112</v>
      </c>
      <c r="L8" s="8">
        <v>46233.301724537036</v>
      </c>
      <c r="M8" s="7">
        <v>1.4722222222222222E-2</v>
      </c>
      <c r="N8" s="7">
        <v>1</v>
      </c>
      <c r="O8" s="7">
        <v>1</v>
      </c>
      <c r="P8" s="7" t="s">
        <v>17</v>
      </c>
      <c r="Q8" s="7" t="s">
        <v>70</v>
      </c>
      <c r="R8" s="7" t="s">
        <v>71</v>
      </c>
      <c r="S8" s="7" t="s">
        <v>43</v>
      </c>
      <c r="T8" s="7" t="s">
        <v>44</v>
      </c>
      <c r="U8" s="7" t="s">
        <v>45</v>
      </c>
      <c r="V8" s="7"/>
      <c r="W8" s="7" t="s">
        <v>46</v>
      </c>
      <c r="X8" s="7" t="s">
        <v>47</v>
      </c>
      <c r="Y8" s="7" t="s">
        <v>48</v>
      </c>
      <c r="Z8" s="7" t="s">
        <v>49</v>
      </c>
      <c r="AA8" s="7"/>
      <c r="AB8" s="7"/>
      <c r="AC8" s="7" t="s">
        <v>49</v>
      </c>
      <c r="AD8" s="7"/>
      <c r="AE8" s="7" t="s">
        <v>45</v>
      </c>
      <c r="AF8" s="7" t="s">
        <v>50</v>
      </c>
      <c r="AG8" s="7" t="s">
        <v>17</v>
      </c>
      <c r="AH8" s="7" t="s">
        <v>17</v>
      </c>
      <c r="AI8" s="7" t="s">
        <v>17</v>
      </c>
      <c r="AJ8" s="7" t="s">
        <v>17</v>
      </c>
      <c r="AK8" s="7" t="s">
        <v>17</v>
      </c>
      <c r="AL8" s="7"/>
      <c r="AM8" s="7"/>
      <c r="AN8" s="7"/>
      <c r="AO8" s="7"/>
      <c r="AP8" s="7" t="s">
        <v>17</v>
      </c>
      <c r="AQ8" s="7" t="s">
        <v>17</v>
      </c>
      <c r="AR8" s="7" t="s">
        <v>51</v>
      </c>
      <c r="AS8" s="7"/>
      <c r="AT8" s="7" t="s">
        <v>17</v>
      </c>
      <c r="AU8" s="7"/>
      <c r="AV8" s="7"/>
      <c r="AW8" s="7"/>
      <c r="AX8" s="7" t="s">
        <v>17</v>
      </c>
      <c r="AY8" s="7" t="s">
        <v>52</v>
      </c>
      <c r="AZ8" s="7" t="s">
        <v>53</v>
      </c>
      <c r="BA8" s="7" t="s">
        <v>53</v>
      </c>
      <c r="BB8" s="7" t="s">
        <v>54</v>
      </c>
      <c r="BC8" s="7" t="s">
        <v>55</v>
      </c>
    </row>
    <row r="9" spans="1:55" hidden="1" x14ac:dyDescent="0.25">
      <c r="A9">
        <v>7</v>
      </c>
      <c r="B9" s="2">
        <v>46233</v>
      </c>
      <c r="C9">
        <v>7</v>
      </c>
      <c r="D9" s="7" t="s">
        <v>165</v>
      </c>
      <c r="E9" s="1" t="str">
        <f>IF(拣货单明细[[#This Row],[任务子类型]]="拆零拣打一体","一体化",VLOOKUP(拣货单明细[[#This Row],[拣货分区]],前后场备注[#All],2,0)&amp;"合流")</f>
        <v>后场合流合流</v>
      </c>
      <c r="F9" s="7" t="s">
        <v>161</v>
      </c>
      <c r="G9" s="7" t="s">
        <v>26</v>
      </c>
      <c r="H9" s="7" t="s">
        <v>162</v>
      </c>
      <c r="I9" s="7" t="s">
        <v>30</v>
      </c>
      <c r="J9" s="7" t="s">
        <v>154</v>
      </c>
      <c r="K9" s="8">
        <v>46233.301041666666</v>
      </c>
      <c r="L9" s="8">
        <v>46233.301400462966</v>
      </c>
      <c r="M9" s="7">
        <v>8.611111111111111E-3</v>
      </c>
      <c r="N9" s="7">
        <v>2</v>
      </c>
      <c r="O9" s="7">
        <v>2</v>
      </c>
      <c r="P9" s="7" t="s">
        <v>17</v>
      </c>
      <c r="Q9" s="7" t="s">
        <v>72</v>
      </c>
      <c r="R9" s="7" t="s">
        <v>42</v>
      </c>
      <c r="S9" s="7" t="s">
        <v>73</v>
      </c>
      <c r="T9" s="7" t="s">
        <v>44</v>
      </c>
      <c r="U9" s="7" t="s">
        <v>45</v>
      </c>
      <c r="V9" s="7"/>
      <c r="W9" s="7" t="s">
        <v>46</v>
      </c>
      <c r="X9" s="7" t="s">
        <v>47</v>
      </c>
      <c r="Y9" s="7" t="s">
        <v>48</v>
      </c>
      <c r="Z9" s="7" t="s">
        <v>49</v>
      </c>
      <c r="AA9" s="7"/>
      <c r="AB9" s="7"/>
      <c r="AC9" s="7" t="s">
        <v>49</v>
      </c>
      <c r="AD9" s="7"/>
      <c r="AE9" s="7" t="s">
        <v>45</v>
      </c>
      <c r="AF9" s="7" t="s">
        <v>74</v>
      </c>
      <c r="AG9" s="7" t="s">
        <v>17</v>
      </c>
      <c r="AH9" s="7" t="s">
        <v>17</v>
      </c>
      <c r="AI9" s="7" t="s">
        <v>17</v>
      </c>
      <c r="AJ9" s="7" t="s">
        <v>17</v>
      </c>
      <c r="AK9" s="7" t="s">
        <v>17</v>
      </c>
      <c r="AL9" s="7"/>
      <c r="AM9" s="7"/>
      <c r="AN9" s="7"/>
      <c r="AO9" s="7"/>
      <c r="AP9" s="7" t="s">
        <v>17</v>
      </c>
      <c r="AQ9" s="7" t="s">
        <v>17</v>
      </c>
      <c r="AR9" s="7" t="s">
        <v>51</v>
      </c>
      <c r="AS9" s="7"/>
      <c r="AT9" s="7" t="s">
        <v>17</v>
      </c>
      <c r="AU9" s="7"/>
      <c r="AV9" s="7"/>
      <c r="AW9" s="7"/>
      <c r="AX9" s="7" t="s">
        <v>17</v>
      </c>
      <c r="AY9" s="7" t="s">
        <v>52</v>
      </c>
      <c r="AZ9" s="7" t="s">
        <v>53</v>
      </c>
      <c r="BA9" s="7" t="s">
        <v>53</v>
      </c>
      <c r="BB9" s="7" t="s">
        <v>54</v>
      </c>
      <c r="BC9" s="7" t="s">
        <v>55</v>
      </c>
    </row>
    <row r="10" spans="1:55" hidden="1" x14ac:dyDescent="0.25">
      <c r="A10">
        <v>7</v>
      </c>
      <c r="B10" s="2">
        <v>46233</v>
      </c>
      <c r="C10">
        <v>7</v>
      </c>
      <c r="D10" s="7" t="s">
        <v>166</v>
      </c>
      <c r="E10" s="1" t="str">
        <f>IF(拣货单明细[[#This Row],[任务子类型]]="拆零拣打一体","一体化",VLOOKUP(拣货单明细[[#This Row],[拣货分区]],前后场备注[#All],2,0)&amp;"合流")</f>
        <v>一体化</v>
      </c>
      <c r="F10" s="7" t="s">
        <v>167</v>
      </c>
      <c r="G10" s="7" t="s">
        <v>27</v>
      </c>
      <c r="H10" s="7" t="s">
        <v>168</v>
      </c>
      <c r="I10" s="7" t="s">
        <v>30</v>
      </c>
      <c r="J10" s="7" t="s">
        <v>31</v>
      </c>
      <c r="K10" s="8">
        <v>46233.300300925926</v>
      </c>
      <c r="L10" s="8">
        <v>46233.302372685182</v>
      </c>
      <c r="M10" s="7">
        <v>4.9722222222222223E-2</v>
      </c>
      <c r="N10" s="7">
        <v>12</v>
      </c>
      <c r="O10" s="7">
        <v>11</v>
      </c>
      <c r="P10" s="7" t="s">
        <v>17</v>
      </c>
      <c r="Q10" s="7" t="s">
        <v>75</v>
      </c>
      <c r="R10" s="7" t="s">
        <v>61</v>
      </c>
      <c r="S10" s="7" t="s">
        <v>48</v>
      </c>
      <c r="T10" s="7" t="s">
        <v>44</v>
      </c>
      <c r="U10" s="7" t="s">
        <v>45</v>
      </c>
      <c r="V10" s="7"/>
      <c r="W10" s="7" t="s">
        <v>46</v>
      </c>
      <c r="X10" s="7" t="s">
        <v>59</v>
      </c>
      <c r="Y10" s="7" t="s">
        <v>48</v>
      </c>
      <c r="Z10" s="7" t="s">
        <v>49</v>
      </c>
      <c r="AA10" s="7"/>
      <c r="AB10" s="7"/>
      <c r="AC10" s="7" t="s">
        <v>49</v>
      </c>
      <c r="AD10" s="7"/>
      <c r="AE10" s="7" t="s">
        <v>45</v>
      </c>
      <c r="AF10" s="7" t="s">
        <v>76</v>
      </c>
      <c r="AG10" s="7" t="s">
        <v>17</v>
      </c>
      <c r="AH10" s="7" t="s">
        <v>17</v>
      </c>
      <c r="AI10" s="7" t="s">
        <v>17</v>
      </c>
      <c r="AJ10" s="7" t="s">
        <v>17</v>
      </c>
      <c r="AK10" s="7" t="s">
        <v>17</v>
      </c>
      <c r="AL10" s="7"/>
      <c r="AM10" s="7"/>
      <c r="AN10" s="7"/>
      <c r="AO10" s="7"/>
      <c r="AP10" s="7" t="s">
        <v>17</v>
      </c>
      <c r="AQ10" s="7" t="s">
        <v>17</v>
      </c>
      <c r="AR10" s="7" t="s">
        <v>51</v>
      </c>
      <c r="AS10" s="7"/>
      <c r="AT10" s="7" t="s">
        <v>17</v>
      </c>
      <c r="AU10" s="7"/>
      <c r="AV10" s="7"/>
      <c r="AW10" s="7"/>
      <c r="AX10" s="7" t="s">
        <v>17</v>
      </c>
      <c r="AY10" s="7" t="s">
        <v>52</v>
      </c>
      <c r="AZ10" s="7" t="s">
        <v>53</v>
      </c>
      <c r="BA10" s="7" t="s">
        <v>53</v>
      </c>
      <c r="BB10" s="7" t="s">
        <v>54</v>
      </c>
      <c r="BC10" s="7" t="s">
        <v>55</v>
      </c>
    </row>
    <row r="11" spans="1:55" hidden="1" x14ac:dyDescent="0.25">
      <c r="A11">
        <v>7</v>
      </c>
      <c r="B11" s="2">
        <v>46233</v>
      </c>
      <c r="C11">
        <v>7</v>
      </c>
      <c r="D11" s="7" t="s">
        <v>169</v>
      </c>
      <c r="E11" s="1" t="str">
        <f>IF(拣货单明细[[#This Row],[任务子类型]]="拆零拣打一体","一体化",VLOOKUP(拣货单明细[[#This Row],[拣货分区]],前后场备注[#All],2,0)&amp;"合流")</f>
        <v>一体化</v>
      </c>
      <c r="F11" s="7" t="s">
        <v>170</v>
      </c>
      <c r="G11" s="7" t="s">
        <v>27</v>
      </c>
      <c r="H11" s="7" t="s">
        <v>171</v>
      </c>
      <c r="I11" s="7" t="s">
        <v>30</v>
      </c>
      <c r="J11" s="7" t="s">
        <v>146</v>
      </c>
      <c r="K11" s="8">
        <v>46233.313333333332</v>
      </c>
      <c r="L11" s="8">
        <v>46233.315046296295</v>
      </c>
      <c r="M11" s="7">
        <v>4.1111111111111112E-2</v>
      </c>
      <c r="N11" s="7">
        <v>6</v>
      </c>
      <c r="O11" s="7">
        <v>6</v>
      </c>
      <c r="P11" s="7" t="s">
        <v>17</v>
      </c>
      <c r="Q11" s="7" t="s">
        <v>75</v>
      </c>
      <c r="R11" s="7" t="s">
        <v>61</v>
      </c>
      <c r="S11" s="7" t="s">
        <v>48</v>
      </c>
      <c r="T11" s="7" t="s">
        <v>44</v>
      </c>
      <c r="U11" s="7" t="s">
        <v>45</v>
      </c>
      <c r="V11" s="7"/>
      <c r="W11" s="7" t="s">
        <v>46</v>
      </c>
      <c r="X11" s="7" t="s">
        <v>59</v>
      </c>
      <c r="Y11" s="7" t="s">
        <v>48</v>
      </c>
      <c r="Z11" s="7" t="s">
        <v>49</v>
      </c>
      <c r="AA11" s="7"/>
      <c r="AB11" s="7"/>
      <c r="AC11" s="7" t="s">
        <v>49</v>
      </c>
      <c r="AD11" s="7"/>
      <c r="AE11" s="7" t="s">
        <v>45</v>
      </c>
      <c r="AF11" s="7" t="s">
        <v>62</v>
      </c>
      <c r="AG11" s="7" t="s">
        <v>17</v>
      </c>
      <c r="AH11" s="7" t="s">
        <v>17</v>
      </c>
      <c r="AI11" s="7" t="s">
        <v>17</v>
      </c>
      <c r="AJ11" s="7" t="s">
        <v>17</v>
      </c>
      <c r="AK11" s="7" t="s">
        <v>17</v>
      </c>
      <c r="AL11" s="7"/>
      <c r="AM11" s="7"/>
      <c r="AN11" s="7"/>
      <c r="AO11" s="7"/>
      <c r="AP11" s="7" t="s">
        <v>17</v>
      </c>
      <c r="AQ11" s="7" t="s">
        <v>17</v>
      </c>
      <c r="AR11" s="7" t="s">
        <v>51</v>
      </c>
      <c r="AS11" s="7"/>
      <c r="AT11" s="7" t="s">
        <v>17</v>
      </c>
      <c r="AU11" s="7"/>
      <c r="AV11" s="7"/>
      <c r="AW11" s="7"/>
      <c r="AX11" s="7" t="s">
        <v>17</v>
      </c>
      <c r="AY11" s="7" t="s">
        <v>52</v>
      </c>
      <c r="AZ11" s="7" t="s">
        <v>53</v>
      </c>
      <c r="BA11" s="7" t="s">
        <v>53</v>
      </c>
      <c r="BB11" s="7" t="s">
        <v>54</v>
      </c>
      <c r="BC11" s="7" t="s">
        <v>55</v>
      </c>
    </row>
    <row r="12" spans="1:55" x14ac:dyDescent="0.25">
      <c r="A12">
        <v>7</v>
      </c>
      <c r="B12" s="2">
        <v>46233</v>
      </c>
      <c r="C12">
        <v>7</v>
      </c>
      <c r="D12" s="7" t="s">
        <v>172</v>
      </c>
      <c r="E12" s="1" t="str">
        <f>IF(拣货单明细[[#This Row],[任务子类型]]="拆零拣打一体","一体化",VLOOKUP(拣货单明细[[#This Row],[拣货分区]],前后场备注[#All],2,0)&amp;"合流")</f>
        <v>后场合流合流</v>
      </c>
      <c r="F12" s="7" t="s">
        <v>173</v>
      </c>
      <c r="G12" s="7" t="s">
        <v>26</v>
      </c>
      <c r="H12" s="7" t="s">
        <v>174</v>
      </c>
      <c r="I12" s="7" t="s">
        <v>36</v>
      </c>
      <c r="J12" s="7" t="s">
        <v>150</v>
      </c>
      <c r="K12" s="8">
        <v>46233.304201388892</v>
      </c>
      <c r="L12" s="8">
        <v>46233.304675925923</v>
      </c>
      <c r="M12" s="7">
        <v>1.1388888888888888E-2</v>
      </c>
      <c r="N12" s="7">
        <v>3</v>
      </c>
      <c r="O12" s="7">
        <v>3</v>
      </c>
      <c r="P12" s="7" t="s">
        <v>17</v>
      </c>
      <c r="Q12" s="7" t="s">
        <v>77</v>
      </c>
      <c r="R12" s="7" t="s">
        <v>78</v>
      </c>
      <c r="S12" s="7" t="s">
        <v>79</v>
      </c>
      <c r="T12" s="7" t="s">
        <v>44</v>
      </c>
      <c r="U12" s="7" t="s">
        <v>45</v>
      </c>
      <c r="V12" s="7"/>
      <c r="W12" s="7" t="s">
        <v>46</v>
      </c>
      <c r="X12" s="7" t="s">
        <v>59</v>
      </c>
      <c r="Y12" s="7" t="s">
        <v>80</v>
      </c>
      <c r="Z12" s="7" t="s">
        <v>49</v>
      </c>
      <c r="AA12" s="7"/>
      <c r="AB12" s="7"/>
      <c r="AC12" s="7" t="s">
        <v>49</v>
      </c>
      <c r="AD12" s="7"/>
      <c r="AE12" s="7" t="s">
        <v>45</v>
      </c>
      <c r="AF12" s="7" t="s">
        <v>81</v>
      </c>
      <c r="AG12" s="7" t="s">
        <v>17</v>
      </c>
      <c r="AH12" s="7" t="s">
        <v>17</v>
      </c>
      <c r="AI12" s="7" t="s">
        <v>17</v>
      </c>
      <c r="AJ12" s="7" t="s">
        <v>17</v>
      </c>
      <c r="AK12" s="7" t="s">
        <v>17</v>
      </c>
      <c r="AL12" s="7"/>
      <c r="AM12" s="7"/>
      <c r="AN12" s="7"/>
      <c r="AO12" s="7"/>
      <c r="AP12" s="7" t="s">
        <v>17</v>
      </c>
      <c r="AQ12" s="7" t="s">
        <v>17</v>
      </c>
      <c r="AR12" s="7" t="s">
        <v>51</v>
      </c>
      <c r="AS12" s="7"/>
      <c r="AT12" s="7" t="s">
        <v>17</v>
      </c>
      <c r="AU12" s="7"/>
      <c r="AV12" s="7"/>
      <c r="AW12" s="7"/>
      <c r="AX12" s="7" t="s">
        <v>17</v>
      </c>
      <c r="AY12" s="7" t="s">
        <v>52</v>
      </c>
      <c r="AZ12" s="7" t="s">
        <v>53</v>
      </c>
      <c r="BA12" s="7" t="s">
        <v>53</v>
      </c>
      <c r="BB12" s="7" t="s">
        <v>54</v>
      </c>
      <c r="BC12" s="7" t="s">
        <v>55</v>
      </c>
    </row>
    <row r="13" spans="1:55" hidden="1" x14ac:dyDescent="0.25">
      <c r="A13">
        <v>7</v>
      </c>
      <c r="B13" s="2">
        <v>46233</v>
      </c>
      <c r="C13">
        <v>7</v>
      </c>
      <c r="D13" s="7" t="s">
        <v>175</v>
      </c>
      <c r="E13" s="1" t="str">
        <f>IF(拣货单明细[[#This Row],[任务子类型]]="拆零拣打一体","一体化",VLOOKUP(拣货单明细[[#This Row],[拣货分区]],前后场备注[#All],2,0)&amp;"合流")</f>
        <v>后场合流合流</v>
      </c>
      <c r="F13" s="7" t="s">
        <v>173</v>
      </c>
      <c r="G13" s="7" t="s">
        <v>26</v>
      </c>
      <c r="H13" s="7" t="s">
        <v>174</v>
      </c>
      <c r="I13" s="7" t="s">
        <v>34</v>
      </c>
      <c r="J13" s="7" t="s">
        <v>154</v>
      </c>
      <c r="K13" s="8">
        <v>46233.304189814815</v>
      </c>
      <c r="L13" s="8">
        <v>46233.3046875</v>
      </c>
      <c r="M13" s="7">
        <v>1.1944444444444443E-2</v>
      </c>
      <c r="N13" s="7">
        <v>5</v>
      </c>
      <c r="O13" s="7">
        <v>4</v>
      </c>
      <c r="P13" s="7" t="s">
        <v>17</v>
      </c>
      <c r="Q13" s="7" t="s">
        <v>82</v>
      </c>
      <c r="R13" s="7" t="s">
        <v>83</v>
      </c>
      <c r="S13" s="7" t="s">
        <v>48</v>
      </c>
      <c r="T13" s="7" t="s">
        <v>44</v>
      </c>
      <c r="U13" s="7" t="s">
        <v>45</v>
      </c>
      <c r="V13" s="7"/>
      <c r="W13" s="7" t="s">
        <v>46</v>
      </c>
      <c r="X13" s="7" t="s">
        <v>59</v>
      </c>
      <c r="Y13" s="7" t="s">
        <v>48</v>
      </c>
      <c r="Z13" s="7" t="s">
        <v>49</v>
      </c>
      <c r="AA13" s="7"/>
      <c r="AB13" s="7"/>
      <c r="AC13" s="7" t="s">
        <v>49</v>
      </c>
      <c r="AD13" s="7"/>
      <c r="AE13" s="7" t="s">
        <v>45</v>
      </c>
      <c r="AF13" s="7" t="s">
        <v>84</v>
      </c>
      <c r="AG13" s="7" t="s">
        <v>17</v>
      </c>
      <c r="AH13" s="7" t="s">
        <v>17</v>
      </c>
      <c r="AI13" s="7" t="s">
        <v>17</v>
      </c>
      <c r="AJ13" s="7" t="s">
        <v>17</v>
      </c>
      <c r="AK13" s="7" t="s">
        <v>17</v>
      </c>
      <c r="AL13" s="7"/>
      <c r="AM13" s="7"/>
      <c r="AN13" s="7"/>
      <c r="AO13" s="7"/>
      <c r="AP13" s="7" t="s">
        <v>17</v>
      </c>
      <c r="AQ13" s="7" t="s">
        <v>17</v>
      </c>
      <c r="AR13" s="7" t="s">
        <v>51</v>
      </c>
      <c r="AS13" s="7"/>
      <c r="AT13" s="7" t="s">
        <v>17</v>
      </c>
      <c r="AU13" s="7"/>
      <c r="AV13" s="7"/>
      <c r="AW13" s="7"/>
      <c r="AX13" s="7" t="s">
        <v>17</v>
      </c>
      <c r="AY13" s="7" t="s">
        <v>52</v>
      </c>
      <c r="AZ13" s="7" t="s">
        <v>53</v>
      </c>
      <c r="BA13" s="7" t="s">
        <v>53</v>
      </c>
      <c r="BB13" s="7" t="s">
        <v>54</v>
      </c>
      <c r="BC13" s="7" t="s">
        <v>55</v>
      </c>
    </row>
    <row r="14" spans="1:55" hidden="1" x14ac:dyDescent="0.25">
      <c r="A14">
        <v>7</v>
      </c>
      <c r="B14" s="2">
        <v>46233</v>
      </c>
      <c r="C14">
        <v>7</v>
      </c>
      <c r="D14" s="7" t="s">
        <v>176</v>
      </c>
      <c r="E14" s="1" t="str">
        <f>IF(拣货单明细[[#This Row],[任务子类型]]="拆零拣打一体","一体化",VLOOKUP(拣货单明细[[#This Row],[拣货分区]],前后场备注[#All],2,0)&amp;"合流")</f>
        <v>前场合流合流</v>
      </c>
      <c r="F14" s="7" t="s">
        <v>173</v>
      </c>
      <c r="G14" s="7" t="s">
        <v>26</v>
      </c>
      <c r="H14" s="7" t="s">
        <v>174</v>
      </c>
      <c r="I14" s="7" t="s">
        <v>32</v>
      </c>
      <c r="J14" s="7" t="s">
        <v>158</v>
      </c>
      <c r="K14" s="8">
        <v>46233.302997685183</v>
      </c>
      <c r="L14" s="8">
        <v>46233.303993055553</v>
      </c>
      <c r="M14" s="7">
        <v>2.3888888888888887E-2</v>
      </c>
      <c r="N14" s="7">
        <v>2</v>
      </c>
      <c r="O14" s="7">
        <v>2</v>
      </c>
      <c r="P14" s="7" t="s">
        <v>17</v>
      </c>
      <c r="Q14" s="7" t="s">
        <v>82</v>
      </c>
      <c r="R14" s="7" t="s">
        <v>85</v>
      </c>
      <c r="S14" s="7" t="s">
        <v>48</v>
      </c>
      <c r="T14" s="7" t="s">
        <v>44</v>
      </c>
      <c r="U14" s="7" t="s">
        <v>45</v>
      </c>
      <c r="V14" s="7"/>
      <c r="W14" s="7" t="s">
        <v>46</v>
      </c>
      <c r="X14" s="7" t="s">
        <v>59</v>
      </c>
      <c r="Y14" s="7" t="s">
        <v>48</v>
      </c>
      <c r="Z14" s="7" t="s">
        <v>49</v>
      </c>
      <c r="AA14" s="7"/>
      <c r="AB14" s="7"/>
      <c r="AC14" s="7" t="s">
        <v>49</v>
      </c>
      <c r="AD14" s="7"/>
      <c r="AE14" s="7" t="s">
        <v>45</v>
      </c>
      <c r="AF14" s="7" t="s">
        <v>76</v>
      </c>
      <c r="AG14" s="7" t="s">
        <v>17</v>
      </c>
      <c r="AH14" s="7" t="s">
        <v>17</v>
      </c>
      <c r="AI14" s="7" t="s">
        <v>17</v>
      </c>
      <c r="AJ14" s="7" t="s">
        <v>17</v>
      </c>
      <c r="AK14" s="7" t="s">
        <v>17</v>
      </c>
      <c r="AL14" s="7"/>
      <c r="AM14" s="7"/>
      <c r="AN14" s="7"/>
      <c r="AO14" s="7"/>
      <c r="AP14" s="7" t="s">
        <v>17</v>
      </c>
      <c r="AQ14" s="7" t="s">
        <v>17</v>
      </c>
      <c r="AR14" s="7" t="s">
        <v>51</v>
      </c>
      <c r="AS14" s="7"/>
      <c r="AT14" s="7" t="s">
        <v>17</v>
      </c>
      <c r="AU14" s="7"/>
      <c r="AV14" s="7"/>
      <c r="AW14" s="7"/>
      <c r="AX14" s="7" t="s">
        <v>17</v>
      </c>
      <c r="AY14" s="7" t="s">
        <v>52</v>
      </c>
      <c r="AZ14" s="7" t="s">
        <v>53</v>
      </c>
      <c r="BA14" s="7" t="s">
        <v>53</v>
      </c>
      <c r="BB14" s="7" t="s">
        <v>54</v>
      </c>
      <c r="BC14" s="7" t="s">
        <v>55</v>
      </c>
    </row>
    <row r="15" spans="1:55" hidden="1" x14ac:dyDescent="0.25">
      <c r="A15">
        <v>7</v>
      </c>
      <c r="B15" s="2">
        <v>46233</v>
      </c>
      <c r="C15">
        <v>7</v>
      </c>
      <c r="D15" s="7" t="s">
        <v>177</v>
      </c>
      <c r="E15" s="1" t="str">
        <f>IF(拣货单明细[[#This Row],[任务子类型]]="拆零拣打一体","一体化",VLOOKUP(拣货单明细[[#This Row],[拣货分区]],前后场备注[#All],2,0)&amp;"合流")</f>
        <v>后场合流合流</v>
      </c>
      <c r="F15" s="7" t="s">
        <v>178</v>
      </c>
      <c r="G15" s="7" t="s">
        <v>26</v>
      </c>
      <c r="H15" s="7" t="s">
        <v>179</v>
      </c>
      <c r="I15" s="7" t="s">
        <v>36</v>
      </c>
      <c r="J15" s="7" t="s">
        <v>154</v>
      </c>
      <c r="K15" s="8">
        <v>46233.293379629627</v>
      </c>
      <c r="L15" s="8">
        <v>46233.293622685182</v>
      </c>
      <c r="M15" s="7">
        <v>5.8333333333333327E-3</v>
      </c>
      <c r="N15" s="7">
        <v>3</v>
      </c>
      <c r="O15" s="7">
        <v>1</v>
      </c>
      <c r="P15" s="7" t="s">
        <v>17</v>
      </c>
      <c r="Q15" s="7" t="s">
        <v>86</v>
      </c>
      <c r="R15" s="7" t="s">
        <v>61</v>
      </c>
      <c r="S15" s="7" t="s">
        <v>48</v>
      </c>
      <c r="T15" s="7" t="s">
        <v>44</v>
      </c>
      <c r="U15" s="7" t="s">
        <v>45</v>
      </c>
      <c r="V15" s="7"/>
      <c r="W15" s="7" t="s">
        <v>46</v>
      </c>
      <c r="X15" s="7" t="s">
        <v>59</v>
      </c>
      <c r="Y15" s="7" t="s">
        <v>48</v>
      </c>
      <c r="Z15" s="7" t="s">
        <v>49</v>
      </c>
      <c r="AA15" s="7"/>
      <c r="AB15" s="7"/>
      <c r="AC15" s="7" t="s">
        <v>49</v>
      </c>
      <c r="AD15" s="7"/>
      <c r="AE15" s="7" t="s">
        <v>45</v>
      </c>
      <c r="AF15" s="7" t="s">
        <v>76</v>
      </c>
      <c r="AG15" s="7" t="s">
        <v>17</v>
      </c>
      <c r="AH15" s="7" t="s">
        <v>17</v>
      </c>
      <c r="AI15" s="7" t="s">
        <v>17</v>
      </c>
      <c r="AJ15" s="7" t="s">
        <v>17</v>
      </c>
      <c r="AK15" s="7" t="s">
        <v>17</v>
      </c>
      <c r="AL15" s="7"/>
      <c r="AM15" s="7"/>
      <c r="AN15" s="7"/>
      <c r="AO15" s="7"/>
      <c r="AP15" s="7" t="s">
        <v>17</v>
      </c>
      <c r="AQ15" s="7" t="s">
        <v>17</v>
      </c>
      <c r="AR15" s="7" t="s">
        <v>51</v>
      </c>
      <c r="AS15" s="7"/>
      <c r="AT15" s="7" t="s">
        <v>17</v>
      </c>
      <c r="AU15" s="7"/>
      <c r="AV15" s="7"/>
      <c r="AW15" s="7"/>
      <c r="AX15" s="7" t="s">
        <v>17</v>
      </c>
      <c r="AY15" s="7" t="s">
        <v>52</v>
      </c>
      <c r="AZ15" s="7" t="s">
        <v>53</v>
      </c>
      <c r="BA15" s="7" t="s">
        <v>53</v>
      </c>
      <c r="BB15" s="7" t="s">
        <v>54</v>
      </c>
      <c r="BC15" s="7" t="s">
        <v>55</v>
      </c>
    </row>
    <row r="16" spans="1:55" hidden="1" x14ac:dyDescent="0.25">
      <c r="A16">
        <v>7</v>
      </c>
      <c r="B16" s="2">
        <v>46233</v>
      </c>
      <c r="C16">
        <v>7</v>
      </c>
      <c r="D16" s="7" t="s">
        <v>180</v>
      </c>
      <c r="E16" s="1" t="str">
        <f>IF(拣货单明细[[#This Row],[任务子类型]]="拆零拣打一体","一体化",VLOOKUP(拣货单明细[[#This Row],[拣货分区]],前后场备注[#All],2,0)&amp;"合流")</f>
        <v>前场合流合流</v>
      </c>
      <c r="F16" s="7" t="s">
        <v>178</v>
      </c>
      <c r="G16" s="7" t="s">
        <v>26</v>
      </c>
      <c r="H16" s="7" t="s">
        <v>179</v>
      </c>
      <c r="I16" s="7" t="s">
        <v>33</v>
      </c>
      <c r="J16" s="7" t="s">
        <v>163</v>
      </c>
      <c r="K16" s="8">
        <v>46233.293344907404</v>
      </c>
      <c r="L16" s="8">
        <v>46233.293553240743</v>
      </c>
      <c r="M16" s="7">
        <v>5.0000000000000001E-3</v>
      </c>
      <c r="N16" s="7">
        <v>1</v>
      </c>
      <c r="O16" s="7">
        <v>1</v>
      </c>
      <c r="P16" s="7" t="s">
        <v>17</v>
      </c>
      <c r="Q16" s="7" t="s">
        <v>86</v>
      </c>
      <c r="R16" s="7" t="s">
        <v>61</v>
      </c>
      <c r="S16" s="7" t="s">
        <v>48</v>
      </c>
      <c r="T16" s="7" t="s">
        <v>44</v>
      </c>
      <c r="U16" s="7" t="s">
        <v>45</v>
      </c>
      <c r="V16" s="7"/>
      <c r="W16" s="7" t="s">
        <v>46</v>
      </c>
      <c r="X16" s="7" t="s">
        <v>59</v>
      </c>
      <c r="Y16" s="7" t="s">
        <v>48</v>
      </c>
      <c r="Z16" s="7" t="s">
        <v>49</v>
      </c>
      <c r="AA16" s="7"/>
      <c r="AB16" s="7"/>
      <c r="AC16" s="7" t="s">
        <v>49</v>
      </c>
      <c r="AD16" s="7"/>
      <c r="AE16" s="7" t="s">
        <v>45</v>
      </c>
      <c r="AF16" s="7" t="s">
        <v>62</v>
      </c>
      <c r="AG16" s="7" t="s">
        <v>17</v>
      </c>
      <c r="AH16" s="7" t="s">
        <v>17</v>
      </c>
      <c r="AI16" s="7" t="s">
        <v>17</v>
      </c>
      <c r="AJ16" s="7" t="s">
        <v>17</v>
      </c>
      <c r="AK16" s="7" t="s">
        <v>17</v>
      </c>
      <c r="AL16" s="7"/>
      <c r="AM16" s="7"/>
      <c r="AN16" s="7"/>
      <c r="AO16" s="7"/>
      <c r="AP16" s="7" t="s">
        <v>17</v>
      </c>
      <c r="AQ16" s="7" t="s">
        <v>17</v>
      </c>
      <c r="AR16" s="7" t="s">
        <v>51</v>
      </c>
      <c r="AS16" s="7"/>
      <c r="AT16" s="7" t="s">
        <v>17</v>
      </c>
      <c r="AU16" s="7"/>
      <c r="AV16" s="7"/>
      <c r="AW16" s="7"/>
      <c r="AX16" s="7" t="s">
        <v>17</v>
      </c>
      <c r="AY16" s="7" t="s">
        <v>52</v>
      </c>
      <c r="AZ16" s="7" t="s">
        <v>53</v>
      </c>
      <c r="BA16" s="7" t="s">
        <v>53</v>
      </c>
      <c r="BB16" s="7" t="s">
        <v>54</v>
      </c>
      <c r="BC16" s="7" t="s">
        <v>55</v>
      </c>
    </row>
    <row r="17" spans="1:55" x14ac:dyDescent="0.25">
      <c r="A17">
        <v>7</v>
      </c>
      <c r="B17" s="2">
        <v>46233</v>
      </c>
      <c r="C17">
        <v>7</v>
      </c>
      <c r="D17" s="7" t="s">
        <v>181</v>
      </c>
      <c r="E17" s="1" t="str">
        <f>IF(拣货单明细[[#This Row],[任务子类型]]="拆零拣打一体","一体化",VLOOKUP(拣货单明细[[#This Row],[拣货分区]],前后场备注[#All],2,0)&amp;"合流")</f>
        <v>后场合流合流</v>
      </c>
      <c r="F17" s="7" t="s">
        <v>178</v>
      </c>
      <c r="G17" s="7" t="s">
        <v>26</v>
      </c>
      <c r="H17" s="7" t="s">
        <v>179</v>
      </c>
      <c r="I17" s="7" t="s">
        <v>34</v>
      </c>
      <c r="J17" s="7" t="s">
        <v>150</v>
      </c>
      <c r="K17" s="8">
        <v>46233.292754629627</v>
      </c>
      <c r="L17" s="8">
        <v>46233.293715277781</v>
      </c>
      <c r="M17" s="7">
        <v>2.3055555555555555E-2</v>
      </c>
      <c r="N17" s="7">
        <v>11</v>
      </c>
      <c r="O17" s="7">
        <v>8</v>
      </c>
      <c r="P17" s="7" t="s">
        <v>17</v>
      </c>
      <c r="Q17" s="7" t="s">
        <v>86</v>
      </c>
      <c r="R17" s="7" t="s">
        <v>87</v>
      </c>
      <c r="S17" s="7" t="s">
        <v>88</v>
      </c>
      <c r="T17" s="7" t="s">
        <v>44</v>
      </c>
      <c r="U17" s="7" t="s">
        <v>45</v>
      </c>
      <c r="V17" s="7"/>
      <c r="W17" s="7" t="s">
        <v>46</v>
      </c>
      <c r="X17" s="7" t="s">
        <v>59</v>
      </c>
      <c r="Y17" s="7" t="s">
        <v>48</v>
      </c>
      <c r="Z17" s="7" t="s">
        <v>49</v>
      </c>
      <c r="AA17" s="7"/>
      <c r="AB17" s="7"/>
      <c r="AC17" s="7" t="s">
        <v>49</v>
      </c>
      <c r="AD17" s="7"/>
      <c r="AE17" s="7" t="s">
        <v>45</v>
      </c>
      <c r="AF17" s="7" t="s">
        <v>89</v>
      </c>
      <c r="AG17" s="7" t="s">
        <v>17</v>
      </c>
      <c r="AH17" s="7" t="s">
        <v>17</v>
      </c>
      <c r="AI17" s="7" t="s">
        <v>17</v>
      </c>
      <c r="AJ17" s="7" t="s">
        <v>17</v>
      </c>
      <c r="AK17" s="7" t="s">
        <v>17</v>
      </c>
      <c r="AL17" s="7"/>
      <c r="AM17" s="7"/>
      <c r="AN17" s="7"/>
      <c r="AO17" s="7"/>
      <c r="AP17" s="7" t="s">
        <v>17</v>
      </c>
      <c r="AQ17" s="7" t="s">
        <v>17</v>
      </c>
      <c r="AR17" s="7" t="s">
        <v>51</v>
      </c>
      <c r="AS17" s="7"/>
      <c r="AT17" s="7" t="s">
        <v>17</v>
      </c>
      <c r="AU17" s="7"/>
      <c r="AV17" s="7"/>
      <c r="AW17" s="7"/>
      <c r="AX17" s="7" t="s">
        <v>17</v>
      </c>
      <c r="AY17" s="7" t="s">
        <v>52</v>
      </c>
      <c r="AZ17" s="7" t="s">
        <v>53</v>
      </c>
      <c r="BA17" s="7" t="s">
        <v>53</v>
      </c>
      <c r="BB17" s="7" t="s">
        <v>54</v>
      </c>
      <c r="BC17" s="7" t="s">
        <v>55</v>
      </c>
    </row>
    <row r="18" spans="1:55" hidden="1" x14ac:dyDescent="0.25">
      <c r="A18">
        <v>7</v>
      </c>
      <c r="B18" s="2">
        <v>46233</v>
      </c>
      <c r="C18">
        <v>7</v>
      </c>
      <c r="D18" s="7" t="s">
        <v>182</v>
      </c>
      <c r="E18" s="1" t="str">
        <f>IF(拣货单明细[[#This Row],[任务子类型]]="拆零拣打一体","一体化",VLOOKUP(拣货单明细[[#This Row],[拣货分区]],前后场备注[#All],2,0)&amp;"合流")</f>
        <v>前场合流合流</v>
      </c>
      <c r="F18" s="7" t="s">
        <v>178</v>
      </c>
      <c r="G18" s="7" t="s">
        <v>26</v>
      </c>
      <c r="H18" s="7" t="s">
        <v>179</v>
      </c>
      <c r="I18" s="7" t="s">
        <v>32</v>
      </c>
      <c r="J18" s="7" t="s">
        <v>146</v>
      </c>
      <c r="K18" s="8">
        <v>46233.293402777781</v>
      </c>
      <c r="L18" s="8">
        <v>46233.293819444443</v>
      </c>
      <c r="M18" s="7">
        <v>0.01</v>
      </c>
      <c r="N18" s="7">
        <v>3</v>
      </c>
      <c r="O18" s="7">
        <v>1</v>
      </c>
      <c r="P18" s="7" t="s">
        <v>17</v>
      </c>
      <c r="Q18" s="7" t="s">
        <v>90</v>
      </c>
      <c r="R18" s="7" t="s">
        <v>61</v>
      </c>
      <c r="S18" s="7" t="s">
        <v>48</v>
      </c>
      <c r="T18" s="7" t="s">
        <v>44</v>
      </c>
      <c r="U18" s="7" t="s">
        <v>45</v>
      </c>
      <c r="V18" s="7"/>
      <c r="W18" s="7" t="s">
        <v>46</v>
      </c>
      <c r="X18" s="7" t="s">
        <v>59</v>
      </c>
      <c r="Y18" s="7" t="s">
        <v>48</v>
      </c>
      <c r="Z18" s="7" t="s">
        <v>49</v>
      </c>
      <c r="AA18" s="7"/>
      <c r="AB18" s="7"/>
      <c r="AC18" s="7" t="s">
        <v>49</v>
      </c>
      <c r="AD18" s="7"/>
      <c r="AE18" s="7" t="s">
        <v>45</v>
      </c>
      <c r="AF18" s="7" t="s">
        <v>62</v>
      </c>
      <c r="AG18" s="7" t="s">
        <v>17</v>
      </c>
      <c r="AH18" s="7" t="s">
        <v>17</v>
      </c>
      <c r="AI18" s="7" t="s">
        <v>17</v>
      </c>
      <c r="AJ18" s="7" t="s">
        <v>17</v>
      </c>
      <c r="AK18" s="7" t="s">
        <v>17</v>
      </c>
      <c r="AL18" s="7"/>
      <c r="AM18" s="7"/>
      <c r="AN18" s="7"/>
      <c r="AO18" s="7"/>
      <c r="AP18" s="7" t="s">
        <v>17</v>
      </c>
      <c r="AQ18" s="7" t="s">
        <v>17</v>
      </c>
      <c r="AR18" s="7" t="s">
        <v>51</v>
      </c>
      <c r="AS18" s="7"/>
      <c r="AT18" s="7" t="s">
        <v>17</v>
      </c>
      <c r="AU18" s="7"/>
      <c r="AV18" s="7"/>
      <c r="AW18" s="7"/>
      <c r="AX18" s="7" t="s">
        <v>17</v>
      </c>
      <c r="AY18" s="7" t="s">
        <v>52</v>
      </c>
      <c r="AZ18" s="7" t="s">
        <v>53</v>
      </c>
      <c r="BA18" s="7" t="s">
        <v>53</v>
      </c>
      <c r="BB18" s="7" t="s">
        <v>54</v>
      </c>
      <c r="BC18" s="7" t="s">
        <v>55</v>
      </c>
    </row>
    <row r="19" spans="1:55" hidden="1" x14ac:dyDescent="0.25">
      <c r="A19">
        <v>7</v>
      </c>
      <c r="B19" s="2">
        <v>46233</v>
      </c>
      <c r="C19">
        <v>7</v>
      </c>
      <c r="D19" s="7" t="s">
        <v>183</v>
      </c>
      <c r="E19" s="1" t="str">
        <f>IF(拣货单明细[[#This Row],[任务子类型]]="拆零拣打一体","一体化",VLOOKUP(拣货单明细[[#This Row],[拣货分区]],前后场备注[#All],2,0)&amp;"合流")</f>
        <v>后场合流合流</v>
      </c>
      <c r="F19" s="7" t="s">
        <v>184</v>
      </c>
      <c r="G19" s="7" t="s">
        <v>26</v>
      </c>
      <c r="H19" s="7" t="s">
        <v>185</v>
      </c>
      <c r="I19" s="7" t="s">
        <v>36</v>
      </c>
      <c r="J19" s="7" t="s">
        <v>154</v>
      </c>
      <c r="K19" s="8">
        <v>46233.306585648148</v>
      </c>
      <c r="L19" s="8">
        <v>46233.306701388887</v>
      </c>
      <c r="M19" s="7">
        <v>2.7777777777777775E-3</v>
      </c>
      <c r="N19" s="7">
        <v>1</v>
      </c>
      <c r="O19" s="7">
        <v>1</v>
      </c>
      <c r="P19" s="7" t="s">
        <v>17</v>
      </c>
      <c r="Q19" s="7" t="s">
        <v>90</v>
      </c>
      <c r="R19" s="7" t="s">
        <v>61</v>
      </c>
      <c r="S19" s="7" t="s">
        <v>48</v>
      </c>
      <c r="T19" s="7" t="s">
        <v>44</v>
      </c>
      <c r="U19" s="7" t="s">
        <v>45</v>
      </c>
      <c r="V19" s="7"/>
      <c r="W19" s="7" t="s">
        <v>46</v>
      </c>
      <c r="X19" s="7" t="s">
        <v>59</v>
      </c>
      <c r="Y19" s="7" t="s">
        <v>48</v>
      </c>
      <c r="Z19" s="7" t="s">
        <v>49</v>
      </c>
      <c r="AA19" s="7"/>
      <c r="AB19" s="7"/>
      <c r="AC19" s="7" t="s">
        <v>49</v>
      </c>
      <c r="AD19" s="7"/>
      <c r="AE19" s="7" t="s">
        <v>45</v>
      </c>
      <c r="AF19" s="7" t="s">
        <v>62</v>
      </c>
      <c r="AG19" s="7" t="s">
        <v>17</v>
      </c>
      <c r="AH19" s="7" t="s">
        <v>17</v>
      </c>
      <c r="AI19" s="7" t="s">
        <v>17</v>
      </c>
      <c r="AJ19" s="7" t="s">
        <v>17</v>
      </c>
      <c r="AK19" s="7" t="s">
        <v>17</v>
      </c>
      <c r="AL19" s="7"/>
      <c r="AM19" s="7"/>
      <c r="AN19" s="7"/>
      <c r="AO19" s="7"/>
      <c r="AP19" s="7" t="s">
        <v>17</v>
      </c>
      <c r="AQ19" s="7" t="s">
        <v>17</v>
      </c>
      <c r="AR19" s="7" t="s">
        <v>51</v>
      </c>
      <c r="AS19" s="7"/>
      <c r="AT19" s="7" t="s">
        <v>17</v>
      </c>
      <c r="AU19" s="7"/>
      <c r="AV19" s="7"/>
      <c r="AW19" s="7"/>
      <c r="AX19" s="7" t="s">
        <v>17</v>
      </c>
      <c r="AY19" s="7" t="s">
        <v>52</v>
      </c>
      <c r="AZ19" s="7" t="s">
        <v>53</v>
      </c>
      <c r="BA19" s="7" t="s">
        <v>53</v>
      </c>
      <c r="BB19" s="7" t="s">
        <v>54</v>
      </c>
      <c r="BC19" s="7" t="s">
        <v>55</v>
      </c>
    </row>
    <row r="20" spans="1:55" hidden="1" x14ac:dyDescent="0.25">
      <c r="A20">
        <v>7</v>
      </c>
      <c r="B20" s="2">
        <v>46233</v>
      </c>
      <c r="C20">
        <v>7</v>
      </c>
      <c r="D20" s="7" t="s">
        <v>186</v>
      </c>
      <c r="E20" s="1" t="str">
        <f>IF(拣货单明细[[#This Row],[任务子类型]]="拆零拣打一体","一体化",VLOOKUP(拣货单明细[[#This Row],[拣货分区]],前后场备注[#All],2,0)&amp;"合流")</f>
        <v>前场合流合流</v>
      </c>
      <c r="F20" s="7" t="s">
        <v>184</v>
      </c>
      <c r="G20" s="7" t="s">
        <v>26</v>
      </c>
      <c r="H20" s="7" t="s">
        <v>185</v>
      </c>
      <c r="I20" s="7" t="s">
        <v>33</v>
      </c>
      <c r="J20" s="7" t="s">
        <v>158</v>
      </c>
      <c r="K20" s="8">
        <v>46233.305150462962</v>
      </c>
      <c r="L20" s="8">
        <v>46233.305312500001</v>
      </c>
      <c r="M20" s="7">
        <v>3.8888888888888888E-3</v>
      </c>
      <c r="N20" s="7">
        <v>1</v>
      </c>
      <c r="O20" s="7">
        <v>1</v>
      </c>
      <c r="P20" s="7" t="s">
        <v>17</v>
      </c>
      <c r="Q20" s="7" t="s">
        <v>90</v>
      </c>
      <c r="R20" s="7" t="s">
        <v>61</v>
      </c>
      <c r="S20" s="7" t="s">
        <v>48</v>
      </c>
      <c r="T20" s="7" t="s">
        <v>44</v>
      </c>
      <c r="U20" s="7" t="s">
        <v>45</v>
      </c>
      <c r="V20" s="7"/>
      <c r="W20" s="7" t="s">
        <v>46</v>
      </c>
      <c r="X20" s="7" t="s">
        <v>59</v>
      </c>
      <c r="Y20" s="7" t="s">
        <v>48</v>
      </c>
      <c r="Z20" s="7" t="s">
        <v>49</v>
      </c>
      <c r="AA20" s="7"/>
      <c r="AB20" s="7"/>
      <c r="AC20" s="7" t="s">
        <v>49</v>
      </c>
      <c r="AD20" s="7"/>
      <c r="AE20" s="7" t="s">
        <v>45</v>
      </c>
      <c r="AF20" s="7" t="s">
        <v>76</v>
      </c>
      <c r="AG20" s="7" t="s">
        <v>17</v>
      </c>
      <c r="AH20" s="7" t="s">
        <v>17</v>
      </c>
      <c r="AI20" s="7" t="s">
        <v>17</v>
      </c>
      <c r="AJ20" s="7" t="s">
        <v>17</v>
      </c>
      <c r="AK20" s="7" t="s">
        <v>17</v>
      </c>
      <c r="AL20" s="7"/>
      <c r="AM20" s="7"/>
      <c r="AN20" s="7"/>
      <c r="AO20" s="7"/>
      <c r="AP20" s="7" t="s">
        <v>17</v>
      </c>
      <c r="AQ20" s="7" t="s">
        <v>17</v>
      </c>
      <c r="AR20" s="7" t="s">
        <v>51</v>
      </c>
      <c r="AS20" s="7"/>
      <c r="AT20" s="7" t="s">
        <v>17</v>
      </c>
      <c r="AU20" s="7"/>
      <c r="AV20" s="7"/>
      <c r="AW20" s="7"/>
      <c r="AX20" s="7" t="s">
        <v>17</v>
      </c>
      <c r="AY20" s="7" t="s">
        <v>52</v>
      </c>
      <c r="AZ20" s="7" t="s">
        <v>53</v>
      </c>
      <c r="BA20" s="7" t="s">
        <v>53</v>
      </c>
      <c r="BB20" s="7" t="s">
        <v>54</v>
      </c>
      <c r="BC20" s="7" t="s">
        <v>55</v>
      </c>
    </row>
    <row r="21" spans="1:55" hidden="1" x14ac:dyDescent="0.25">
      <c r="A21">
        <v>7</v>
      </c>
      <c r="B21" s="2">
        <v>46233</v>
      </c>
      <c r="C21">
        <v>7</v>
      </c>
      <c r="D21" s="7" t="s">
        <v>187</v>
      </c>
      <c r="E21" s="1" t="str">
        <f>IF(拣货单明细[[#This Row],[任务子类型]]="拆零拣打一体","一体化",VLOOKUP(拣货单明细[[#This Row],[拣货分区]],前后场备注[#All],2,0)&amp;"合流")</f>
        <v>后场合流合流</v>
      </c>
      <c r="F21" s="7" t="s">
        <v>184</v>
      </c>
      <c r="G21" s="7" t="s">
        <v>26</v>
      </c>
      <c r="H21" s="7" t="s">
        <v>185</v>
      </c>
      <c r="I21" s="7" t="s">
        <v>34</v>
      </c>
      <c r="J21" s="7" t="s">
        <v>154</v>
      </c>
      <c r="K21" s="8">
        <v>46233.305185185185</v>
      </c>
      <c r="L21" s="8">
        <v>46233.306111111109</v>
      </c>
      <c r="M21" s="7">
        <v>2.222222222222222E-2</v>
      </c>
      <c r="N21" s="7">
        <v>8</v>
      </c>
      <c r="O21" s="7">
        <v>6</v>
      </c>
      <c r="P21" s="7" t="s">
        <v>17</v>
      </c>
      <c r="Q21" s="7" t="s">
        <v>91</v>
      </c>
      <c r="R21" s="7" t="s">
        <v>92</v>
      </c>
      <c r="S21" s="7" t="s">
        <v>48</v>
      </c>
      <c r="T21" s="7" t="s">
        <v>44</v>
      </c>
      <c r="U21" s="7" t="s">
        <v>45</v>
      </c>
      <c r="V21" s="7"/>
      <c r="W21" s="7" t="s">
        <v>46</v>
      </c>
      <c r="X21" s="7" t="s">
        <v>59</v>
      </c>
      <c r="Y21" s="7" t="s">
        <v>48</v>
      </c>
      <c r="Z21" s="7" t="s">
        <v>49</v>
      </c>
      <c r="AA21" s="7"/>
      <c r="AB21" s="7"/>
      <c r="AC21" s="7" t="s">
        <v>49</v>
      </c>
      <c r="AD21" s="7"/>
      <c r="AE21" s="7" t="s">
        <v>68</v>
      </c>
      <c r="AF21" s="7" t="s">
        <v>84</v>
      </c>
      <c r="AG21" s="7" t="s">
        <v>93</v>
      </c>
      <c r="AH21" s="7" t="s">
        <v>17</v>
      </c>
      <c r="AI21" s="7" t="s">
        <v>17</v>
      </c>
      <c r="AJ21" s="7" t="s">
        <v>17</v>
      </c>
      <c r="AK21" s="7" t="s">
        <v>17</v>
      </c>
      <c r="AL21" s="7"/>
      <c r="AM21" s="7"/>
      <c r="AN21" s="7"/>
      <c r="AO21" s="7"/>
      <c r="AP21" s="7" t="s">
        <v>17</v>
      </c>
      <c r="AQ21" s="7" t="s">
        <v>17</v>
      </c>
      <c r="AR21" s="7" t="s">
        <v>51</v>
      </c>
      <c r="AS21" s="7"/>
      <c r="AT21" s="7" t="s">
        <v>17</v>
      </c>
      <c r="AU21" s="7"/>
      <c r="AV21" s="7"/>
      <c r="AW21" s="7"/>
      <c r="AX21" s="7" t="s">
        <v>17</v>
      </c>
      <c r="AY21" s="7" t="s">
        <v>52</v>
      </c>
      <c r="AZ21" s="7" t="s">
        <v>53</v>
      </c>
      <c r="BA21" s="7" t="s">
        <v>53</v>
      </c>
      <c r="BB21" s="7" t="s">
        <v>54</v>
      </c>
      <c r="BC21" s="7" t="s">
        <v>55</v>
      </c>
    </row>
    <row r="22" spans="1:55" hidden="1" x14ac:dyDescent="0.25">
      <c r="A22">
        <v>7</v>
      </c>
      <c r="B22" s="2">
        <v>46233</v>
      </c>
      <c r="C22">
        <v>7</v>
      </c>
      <c r="D22" s="7" t="s">
        <v>188</v>
      </c>
      <c r="E22" s="1" t="str">
        <f>IF(拣货单明细[[#This Row],[任务子类型]]="拆零拣打一体","一体化",VLOOKUP(拣货单明细[[#This Row],[拣货分区]],前后场备注[#All],2,0)&amp;"合流")</f>
        <v>前场合流合流</v>
      </c>
      <c r="F22" s="7" t="s">
        <v>184</v>
      </c>
      <c r="G22" s="7" t="s">
        <v>26</v>
      </c>
      <c r="H22" s="7" t="s">
        <v>185</v>
      </c>
      <c r="I22" s="7" t="s">
        <v>32</v>
      </c>
      <c r="J22" s="7" t="s">
        <v>189</v>
      </c>
      <c r="K22" s="8">
        <v>46233.304918981485</v>
      </c>
      <c r="L22" s="8">
        <v>46233.305694444447</v>
      </c>
      <c r="M22" s="7">
        <v>1.861111111111111E-2</v>
      </c>
      <c r="N22" s="7">
        <v>1</v>
      </c>
      <c r="O22" s="7">
        <v>1</v>
      </c>
      <c r="P22" s="7" t="s">
        <v>17</v>
      </c>
      <c r="Q22" s="7" t="s">
        <v>91</v>
      </c>
      <c r="R22" s="7" t="s">
        <v>94</v>
      </c>
      <c r="S22" s="7" t="s">
        <v>95</v>
      </c>
      <c r="T22" s="7" t="s">
        <v>44</v>
      </c>
      <c r="U22" s="7" t="s">
        <v>45</v>
      </c>
      <c r="V22" s="7"/>
      <c r="W22" s="7" t="s">
        <v>46</v>
      </c>
      <c r="X22" s="7" t="s">
        <v>59</v>
      </c>
      <c r="Y22" s="7" t="s">
        <v>48</v>
      </c>
      <c r="Z22" s="7" t="s">
        <v>49</v>
      </c>
      <c r="AA22" s="7"/>
      <c r="AB22" s="7"/>
      <c r="AC22" s="7" t="s">
        <v>49</v>
      </c>
      <c r="AD22" s="7"/>
      <c r="AE22" s="7" t="s">
        <v>45</v>
      </c>
      <c r="AF22" s="7" t="s">
        <v>96</v>
      </c>
      <c r="AG22" s="7" t="s">
        <v>17</v>
      </c>
      <c r="AH22" s="7" t="s">
        <v>17</v>
      </c>
      <c r="AI22" s="7" t="s">
        <v>17</v>
      </c>
      <c r="AJ22" s="7" t="s">
        <v>17</v>
      </c>
      <c r="AK22" s="7" t="s">
        <v>17</v>
      </c>
      <c r="AL22" s="7"/>
      <c r="AM22" s="7"/>
      <c r="AN22" s="7"/>
      <c r="AO22" s="7"/>
      <c r="AP22" s="7" t="s">
        <v>17</v>
      </c>
      <c r="AQ22" s="7" t="s">
        <v>17</v>
      </c>
      <c r="AR22" s="7" t="s">
        <v>51</v>
      </c>
      <c r="AS22" s="7"/>
      <c r="AT22" s="7" t="s">
        <v>17</v>
      </c>
      <c r="AU22" s="7"/>
      <c r="AV22" s="7"/>
      <c r="AW22" s="7"/>
      <c r="AX22" s="7" t="s">
        <v>17</v>
      </c>
      <c r="AY22" s="7" t="s">
        <v>52</v>
      </c>
      <c r="AZ22" s="7" t="s">
        <v>53</v>
      </c>
      <c r="BA22" s="7" t="s">
        <v>53</v>
      </c>
      <c r="BB22" s="7" t="s">
        <v>54</v>
      </c>
      <c r="BC22" s="7" t="s">
        <v>55</v>
      </c>
    </row>
    <row r="23" spans="1:55" hidden="1" x14ac:dyDescent="0.25">
      <c r="A23">
        <v>7</v>
      </c>
      <c r="B23" s="2">
        <v>46233</v>
      </c>
      <c r="C23">
        <v>7</v>
      </c>
      <c r="D23" s="7" t="s">
        <v>190</v>
      </c>
      <c r="E23" s="1" t="str">
        <f>IF(拣货单明细[[#This Row],[任务子类型]]="拆零拣打一体","一体化",VLOOKUP(拣货单明细[[#This Row],[拣货分区]],前后场备注[#All],2,0)&amp;"合流")</f>
        <v>一体化</v>
      </c>
      <c r="F23" s="7" t="s">
        <v>191</v>
      </c>
      <c r="G23" s="7" t="s">
        <v>27</v>
      </c>
      <c r="H23" s="7" t="s">
        <v>192</v>
      </c>
      <c r="I23" s="7" t="s">
        <v>30</v>
      </c>
      <c r="J23" s="7" t="s">
        <v>146</v>
      </c>
      <c r="K23" s="8">
        <v>46233.310925925929</v>
      </c>
      <c r="L23" s="8">
        <v>46233.311423611114</v>
      </c>
      <c r="M23" s="7">
        <v>1.1944444444444443E-2</v>
      </c>
      <c r="N23" s="7">
        <v>1</v>
      </c>
      <c r="O23" s="7">
        <v>1</v>
      </c>
      <c r="P23" s="7" t="s">
        <v>17</v>
      </c>
      <c r="Q23" s="7" t="s">
        <v>91</v>
      </c>
      <c r="R23" s="7" t="s">
        <v>61</v>
      </c>
      <c r="S23" s="7" t="s">
        <v>48</v>
      </c>
      <c r="T23" s="7" t="s">
        <v>44</v>
      </c>
      <c r="U23" s="7" t="s">
        <v>45</v>
      </c>
      <c r="V23" s="7"/>
      <c r="W23" s="7" t="s">
        <v>46</v>
      </c>
      <c r="X23" s="7" t="s">
        <v>59</v>
      </c>
      <c r="Y23" s="7" t="s">
        <v>48</v>
      </c>
      <c r="Z23" s="7" t="s">
        <v>49</v>
      </c>
      <c r="AA23" s="7"/>
      <c r="AB23" s="7"/>
      <c r="AC23" s="7" t="s">
        <v>49</v>
      </c>
      <c r="AD23" s="7"/>
      <c r="AE23" s="7" t="s">
        <v>45</v>
      </c>
      <c r="AF23" s="7" t="s">
        <v>62</v>
      </c>
      <c r="AG23" s="7" t="s">
        <v>17</v>
      </c>
      <c r="AH23" s="7" t="s">
        <v>17</v>
      </c>
      <c r="AI23" s="7" t="s">
        <v>17</v>
      </c>
      <c r="AJ23" s="7" t="s">
        <v>17</v>
      </c>
      <c r="AK23" s="7" t="s">
        <v>17</v>
      </c>
      <c r="AL23" s="7"/>
      <c r="AM23" s="7"/>
      <c r="AN23" s="7"/>
      <c r="AO23" s="7"/>
      <c r="AP23" s="7" t="s">
        <v>17</v>
      </c>
      <c r="AQ23" s="7" t="s">
        <v>17</v>
      </c>
      <c r="AR23" s="7" t="s">
        <v>51</v>
      </c>
      <c r="AS23" s="7"/>
      <c r="AT23" s="7" t="s">
        <v>17</v>
      </c>
      <c r="AU23" s="7"/>
      <c r="AV23" s="7"/>
      <c r="AW23" s="7"/>
      <c r="AX23" s="7" t="s">
        <v>17</v>
      </c>
      <c r="AY23" s="7" t="s">
        <v>52</v>
      </c>
      <c r="AZ23" s="7" t="s">
        <v>53</v>
      </c>
      <c r="BA23" s="7" t="s">
        <v>53</v>
      </c>
      <c r="BB23" s="7" t="s">
        <v>54</v>
      </c>
      <c r="BC23" s="7" t="s">
        <v>55</v>
      </c>
    </row>
    <row r="24" spans="1:55" hidden="1" x14ac:dyDescent="0.25">
      <c r="A24">
        <v>7</v>
      </c>
      <c r="B24" s="2">
        <v>46233</v>
      </c>
      <c r="C24">
        <v>7</v>
      </c>
      <c r="D24" s="7" t="s">
        <v>193</v>
      </c>
      <c r="E24" s="1" t="str">
        <f>IF(拣货单明细[[#This Row],[任务子类型]]="拆零拣打一体","一体化",VLOOKUP(拣货单明细[[#This Row],[拣货分区]],前后场备注[#All],2,0)&amp;"合流")</f>
        <v>后场合流合流</v>
      </c>
      <c r="F24" s="7" t="s">
        <v>194</v>
      </c>
      <c r="G24" s="7" t="s">
        <v>26</v>
      </c>
      <c r="H24" s="7" t="s">
        <v>195</v>
      </c>
      <c r="I24" s="7" t="s">
        <v>36</v>
      </c>
      <c r="J24" s="7" t="s">
        <v>154</v>
      </c>
      <c r="K24" s="8">
        <v>46233.316944444443</v>
      </c>
      <c r="L24" s="8">
        <v>46233.317118055558</v>
      </c>
      <c r="M24" s="7">
        <v>4.1666666666666666E-3</v>
      </c>
      <c r="N24" s="7">
        <v>1</v>
      </c>
      <c r="O24" s="7">
        <v>1</v>
      </c>
      <c r="P24" s="7" t="s">
        <v>17</v>
      </c>
      <c r="Q24" s="7" t="s">
        <v>97</v>
      </c>
      <c r="R24" s="7" t="s">
        <v>71</v>
      </c>
      <c r="S24" s="7" t="s">
        <v>58</v>
      </c>
      <c r="T24" s="7" t="s">
        <v>44</v>
      </c>
      <c r="U24" s="7" t="s">
        <v>45</v>
      </c>
      <c r="V24" s="7"/>
      <c r="W24" s="7" t="s">
        <v>46</v>
      </c>
      <c r="X24" s="7" t="s">
        <v>59</v>
      </c>
      <c r="Y24" s="7" t="s">
        <v>48</v>
      </c>
      <c r="Z24" s="7" t="s">
        <v>49</v>
      </c>
      <c r="AA24" s="7"/>
      <c r="AB24" s="7"/>
      <c r="AC24" s="7" t="s">
        <v>49</v>
      </c>
      <c r="AD24" s="7"/>
      <c r="AE24" s="7" t="s">
        <v>45</v>
      </c>
      <c r="AF24" s="7" t="s">
        <v>98</v>
      </c>
      <c r="AG24" s="7" t="s">
        <v>17</v>
      </c>
      <c r="AH24" s="7" t="s">
        <v>17</v>
      </c>
      <c r="AI24" s="7" t="s">
        <v>17</v>
      </c>
      <c r="AJ24" s="7" t="s">
        <v>17</v>
      </c>
      <c r="AK24" s="7" t="s">
        <v>17</v>
      </c>
      <c r="AL24" s="7"/>
      <c r="AM24" s="7"/>
      <c r="AN24" s="7"/>
      <c r="AO24" s="7"/>
      <c r="AP24" s="7" t="s">
        <v>17</v>
      </c>
      <c r="AQ24" s="7" t="s">
        <v>17</v>
      </c>
      <c r="AR24" s="7" t="s">
        <v>51</v>
      </c>
      <c r="AS24" s="7"/>
      <c r="AT24" s="7" t="s">
        <v>17</v>
      </c>
      <c r="AU24" s="7"/>
      <c r="AV24" s="7"/>
      <c r="AW24" s="7"/>
      <c r="AX24" s="7" t="s">
        <v>17</v>
      </c>
      <c r="AY24" s="7" t="s">
        <v>52</v>
      </c>
      <c r="AZ24" s="7" t="s">
        <v>53</v>
      </c>
      <c r="BA24" s="7" t="s">
        <v>53</v>
      </c>
      <c r="BB24" s="7" t="s">
        <v>54</v>
      </c>
      <c r="BC24" s="7" t="s">
        <v>55</v>
      </c>
    </row>
    <row r="25" spans="1:55" hidden="1" x14ac:dyDescent="0.25">
      <c r="A25">
        <v>7</v>
      </c>
      <c r="B25" s="2">
        <v>46233</v>
      </c>
      <c r="C25">
        <v>7</v>
      </c>
      <c r="D25" s="7" t="s">
        <v>196</v>
      </c>
      <c r="E25" s="1" t="str">
        <f>IF(拣货单明细[[#This Row],[任务子类型]]="拆零拣打一体","一体化",VLOOKUP(拣货单明细[[#This Row],[拣货分区]],前后场备注[#All],2,0)&amp;"合流")</f>
        <v>前场合流合流</v>
      </c>
      <c r="F25" s="7" t="s">
        <v>194</v>
      </c>
      <c r="G25" s="7" t="s">
        <v>26</v>
      </c>
      <c r="H25" s="7" t="s">
        <v>195</v>
      </c>
      <c r="I25" s="7" t="s">
        <v>33</v>
      </c>
      <c r="J25" s="7" t="s">
        <v>197</v>
      </c>
      <c r="K25" s="8">
        <v>46233.316793981481</v>
      </c>
      <c r="L25" s="8">
        <v>46233.317129629628</v>
      </c>
      <c r="M25" s="7">
        <v>8.0555555555555554E-3</v>
      </c>
      <c r="N25" s="7">
        <v>1</v>
      </c>
      <c r="O25" s="7">
        <v>1</v>
      </c>
      <c r="P25" s="7" t="s">
        <v>17</v>
      </c>
      <c r="Q25" s="7" t="s">
        <v>97</v>
      </c>
      <c r="R25" s="7" t="s">
        <v>61</v>
      </c>
      <c r="S25" s="7" t="s">
        <v>48</v>
      </c>
      <c r="T25" s="7" t="s">
        <v>44</v>
      </c>
      <c r="U25" s="7" t="s">
        <v>45</v>
      </c>
      <c r="V25" s="7"/>
      <c r="W25" s="7" t="s">
        <v>46</v>
      </c>
      <c r="X25" s="7" t="s">
        <v>59</v>
      </c>
      <c r="Y25" s="7" t="s">
        <v>48</v>
      </c>
      <c r="Z25" s="7" t="s">
        <v>49</v>
      </c>
      <c r="AA25" s="7"/>
      <c r="AB25" s="7"/>
      <c r="AC25" s="7" t="s">
        <v>49</v>
      </c>
      <c r="AD25" s="7"/>
      <c r="AE25" s="7" t="s">
        <v>45</v>
      </c>
      <c r="AF25" s="7" t="s">
        <v>62</v>
      </c>
      <c r="AG25" s="7" t="s">
        <v>17</v>
      </c>
      <c r="AH25" s="7" t="s">
        <v>17</v>
      </c>
      <c r="AI25" s="7" t="s">
        <v>17</v>
      </c>
      <c r="AJ25" s="7" t="s">
        <v>17</v>
      </c>
      <c r="AK25" s="7" t="s">
        <v>17</v>
      </c>
      <c r="AL25" s="7"/>
      <c r="AM25" s="7"/>
      <c r="AN25" s="7"/>
      <c r="AO25" s="7"/>
      <c r="AP25" s="7" t="s">
        <v>17</v>
      </c>
      <c r="AQ25" s="7" t="s">
        <v>17</v>
      </c>
      <c r="AR25" s="7" t="s">
        <v>51</v>
      </c>
      <c r="AS25" s="7"/>
      <c r="AT25" s="7" t="s">
        <v>17</v>
      </c>
      <c r="AU25" s="7"/>
      <c r="AV25" s="7"/>
      <c r="AW25" s="7"/>
      <c r="AX25" s="7" t="s">
        <v>17</v>
      </c>
      <c r="AY25" s="7" t="s">
        <v>52</v>
      </c>
      <c r="AZ25" s="7" t="s">
        <v>53</v>
      </c>
      <c r="BA25" s="7" t="s">
        <v>53</v>
      </c>
      <c r="BB25" s="7" t="s">
        <v>54</v>
      </c>
      <c r="BC25" s="7" t="s">
        <v>55</v>
      </c>
    </row>
    <row r="26" spans="1:55" x14ac:dyDescent="0.25">
      <c r="A26">
        <v>7</v>
      </c>
      <c r="B26" s="2">
        <v>46233</v>
      </c>
      <c r="C26">
        <v>7</v>
      </c>
      <c r="D26" s="7" t="s">
        <v>198</v>
      </c>
      <c r="E26" s="1" t="str">
        <f>IF(拣货单明细[[#This Row],[任务子类型]]="拆零拣打一体","一体化",VLOOKUP(拣货单明细[[#This Row],[拣货分区]],前后场备注[#All],2,0)&amp;"合流")</f>
        <v>后场合流合流</v>
      </c>
      <c r="F26" s="7" t="s">
        <v>194</v>
      </c>
      <c r="G26" s="7" t="s">
        <v>26</v>
      </c>
      <c r="H26" s="7" t="s">
        <v>195</v>
      </c>
      <c r="I26" s="7" t="s">
        <v>34</v>
      </c>
      <c r="J26" s="7" t="s">
        <v>150</v>
      </c>
      <c r="K26" s="8">
        <v>46233.316932870373</v>
      </c>
      <c r="L26" s="8">
        <v>46233.318888888891</v>
      </c>
      <c r="M26" s="7">
        <v>4.6944444444444441E-2</v>
      </c>
      <c r="N26" s="7">
        <v>13</v>
      </c>
      <c r="O26" s="7">
        <v>11</v>
      </c>
      <c r="P26" s="7" t="s">
        <v>17</v>
      </c>
      <c r="Q26" s="7" t="s">
        <v>97</v>
      </c>
      <c r="R26" s="7" t="s">
        <v>94</v>
      </c>
      <c r="S26" s="7" t="s">
        <v>58</v>
      </c>
      <c r="T26" s="7" t="s">
        <v>44</v>
      </c>
      <c r="U26" s="7" t="s">
        <v>45</v>
      </c>
      <c r="V26" s="7"/>
      <c r="W26" s="7" t="s">
        <v>46</v>
      </c>
      <c r="X26" s="7" t="s">
        <v>59</v>
      </c>
      <c r="Y26" s="7" t="s">
        <v>48</v>
      </c>
      <c r="Z26" s="7" t="s">
        <v>49</v>
      </c>
      <c r="AA26" s="7"/>
      <c r="AB26" s="7"/>
      <c r="AC26" s="7" t="s">
        <v>49</v>
      </c>
      <c r="AD26" s="7"/>
      <c r="AE26" s="7" t="s">
        <v>45</v>
      </c>
      <c r="AF26" s="7" t="s">
        <v>60</v>
      </c>
      <c r="AG26" s="7" t="s">
        <v>17</v>
      </c>
      <c r="AH26" s="7" t="s">
        <v>17</v>
      </c>
      <c r="AI26" s="7" t="s">
        <v>17</v>
      </c>
      <c r="AJ26" s="7" t="s">
        <v>17</v>
      </c>
      <c r="AK26" s="7" t="s">
        <v>17</v>
      </c>
      <c r="AL26" s="7"/>
      <c r="AM26" s="7"/>
      <c r="AN26" s="7"/>
      <c r="AO26" s="7"/>
      <c r="AP26" s="7" t="s">
        <v>17</v>
      </c>
      <c r="AQ26" s="7" t="s">
        <v>17</v>
      </c>
      <c r="AR26" s="7" t="s">
        <v>51</v>
      </c>
      <c r="AS26" s="7"/>
      <c r="AT26" s="7" t="s">
        <v>17</v>
      </c>
      <c r="AU26" s="7"/>
      <c r="AV26" s="7"/>
      <c r="AW26" s="7"/>
      <c r="AX26" s="7" t="s">
        <v>17</v>
      </c>
      <c r="AY26" s="7" t="s">
        <v>52</v>
      </c>
      <c r="AZ26" s="7" t="s">
        <v>53</v>
      </c>
      <c r="BA26" s="7" t="s">
        <v>53</v>
      </c>
      <c r="BB26" s="7" t="s">
        <v>54</v>
      </c>
      <c r="BC26" s="7" t="s">
        <v>55</v>
      </c>
    </row>
    <row r="27" spans="1:55" hidden="1" x14ac:dyDescent="0.25">
      <c r="A27">
        <v>7</v>
      </c>
      <c r="B27" s="2">
        <v>46233</v>
      </c>
      <c r="C27">
        <v>7</v>
      </c>
      <c r="D27" s="7" t="s">
        <v>199</v>
      </c>
      <c r="E27" s="1" t="str">
        <f>IF(拣货单明细[[#This Row],[任务子类型]]="拆零拣打一体","一体化",VLOOKUP(拣货单明细[[#This Row],[拣货分区]],前后场备注[#All],2,0)&amp;"合流")</f>
        <v>前场合流合流</v>
      </c>
      <c r="F27" s="7" t="s">
        <v>194</v>
      </c>
      <c r="G27" s="7" t="s">
        <v>26</v>
      </c>
      <c r="H27" s="7" t="s">
        <v>195</v>
      </c>
      <c r="I27" s="7" t="s">
        <v>29</v>
      </c>
      <c r="J27" s="7" t="s">
        <v>158</v>
      </c>
      <c r="K27" s="8">
        <v>46233.316805555558</v>
      </c>
      <c r="L27" s="8">
        <v>46233.318888888891</v>
      </c>
      <c r="M27" s="7">
        <v>4.9999999999999996E-2</v>
      </c>
      <c r="N27" s="7">
        <v>1</v>
      </c>
      <c r="O27" s="7">
        <v>1</v>
      </c>
      <c r="P27" s="7" t="s">
        <v>17</v>
      </c>
      <c r="Q27" s="7" t="s">
        <v>99</v>
      </c>
      <c r="R27" s="7" t="s">
        <v>61</v>
      </c>
      <c r="S27" s="7" t="s">
        <v>48</v>
      </c>
      <c r="T27" s="7" t="s">
        <v>44</v>
      </c>
      <c r="U27" s="7" t="s">
        <v>45</v>
      </c>
      <c r="V27" s="7"/>
      <c r="W27" s="7" t="s">
        <v>46</v>
      </c>
      <c r="X27" s="7" t="s">
        <v>59</v>
      </c>
      <c r="Y27" s="7" t="s">
        <v>48</v>
      </c>
      <c r="Z27" s="7" t="s">
        <v>49</v>
      </c>
      <c r="AA27" s="7"/>
      <c r="AB27" s="7"/>
      <c r="AC27" s="7" t="s">
        <v>49</v>
      </c>
      <c r="AD27" s="7"/>
      <c r="AE27" s="7" t="s">
        <v>45</v>
      </c>
      <c r="AF27" s="7" t="s">
        <v>62</v>
      </c>
      <c r="AG27" s="7" t="s">
        <v>17</v>
      </c>
      <c r="AH27" s="7" t="s">
        <v>17</v>
      </c>
      <c r="AI27" s="7" t="s">
        <v>17</v>
      </c>
      <c r="AJ27" s="7" t="s">
        <v>17</v>
      </c>
      <c r="AK27" s="7" t="s">
        <v>17</v>
      </c>
      <c r="AL27" s="7"/>
      <c r="AM27" s="7"/>
      <c r="AN27" s="7"/>
      <c r="AO27" s="7"/>
      <c r="AP27" s="7" t="s">
        <v>17</v>
      </c>
      <c r="AQ27" s="7" t="s">
        <v>17</v>
      </c>
      <c r="AR27" s="7" t="s">
        <v>51</v>
      </c>
      <c r="AS27" s="7"/>
      <c r="AT27" s="7" t="s">
        <v>17</v>
      </c>
      <c r="AU27" s="7"/>
      <c r="AV27" s="7"/>
      <c r="AW27" s="7"/>
      <c r="AX27" s="7" t="s">
        <v>17</v>
      </c>
      <c r="AY27" s="7" t="s">
        <v>52</v>
      </c>
      <c r="AZ27" s="7" t="s">
        <v>53</v>
      </c>
      <c r="BA27" s="7" t="s">
        <v>53</v>
      </c>
      <c r="BB27" s="7" t="s">
        <v>54</v>
      </c>
      <c r="BC27" s="7" t="s">
        <v>55</v>
      </c>
    </row>
    <row r="28" spans="1:55" hidden="1" x14ac:dyDescent="0.25">
      <c r="A28">
        <v>7</v>
      </c>
      <c r="B28" s="2">
        <v>46233</v>
      </c>
      <c r="C28">
        <v>7</v>
      </c>
      <c r="D28" s="7" t="s">
        <v>200</v>
      </c>
      <c r="E28" s="1" t="str">
        <f>IF(拣货单明细[[#This Row],[任务子类型]]="拆零拣打一体","一体化",VLOOKUP(拣货单明细[[#This Row],[拣货分区]],前后场备注[#All],2,0)&amp;"合流")</f>
        <v>前场合流合流</v>
      </c>
      <c r="F28" s="7" t="s">
        <v>194</v>
      </c>
      <c r="G28" s="7" t="s">
        <v>26</v>
      </c>
      <c r="H28" s="7" t="s">
        <v>195</v>
      </c>
      <c r="I28" s="7" t="s">
        <v>32</v>
      </c>
      <c r="J28" s="7" t="s">
        <v>163</v>
      </c>
      <c r="K28" s="8">
        <v>46233.31722222222</v>
      </c>
      <c r="L28" s="8">
        <v>46233.319097222222</v>
      </c>
      <c r="M28" s="7">
        <v>4.4999999999999998E-2</v>
      </c>
      <c r="N28" s="7">
        <v>3</v>
      </c>
      <c r="O28" s="7">
        <v>3</v>
      </c>
      <c r="P28" s="7" t="s">
        <v>17</v>
      </c>
      <c r="Q28" s="7" t="s">
        <v>99</v>
      </c>
      <c r="R28" s="7" t="s">
        <v>57</v>
      </c>
      <c r="S28" s="7" t="s">
        <v>58</v>
      </c>
      <c r="T28" s="7" t="s">
        <v>44</v>
      </c>
      <c r="U28" s="7" t="s">
        <v>45</v>
      </c>
      <c r="V28" s="7"/>
      <c r="W28" s="7" t="s">
        <v>46</v>
      </c>
      <c r="X28" s="7" t="s">
        <v>59</v>
      </c>
      <c r="Y28" s="7" t="s">
        <v>48</v>
      </c>
      <c r="Z28" s="7" t="s">
        <v>49</v>
      </c>
      <c r="AA28" s="7"/>
      <c r="AB28" s="7"/>
      <c r="AC28" s="7" t="s">
        <v>49</v>
      </c>
      <c r="AD28" s="7"/>
      <c r="AE28" s="7" t="s">
        <v>45</v>
      </c>
      <c r="AF28" s="7" t="s">
        <v>60</v>
      </c>
      <c r="AG28" s="7" t="s">
        <v>17</v>
      </c>
      <c r="AH28" s="7" t="s">
        <v>17</v>
      </c>
      <c r="AI28" s="7" t="s">
        <v>17</v>
      </c>
      <c r="AJ28" s="7" t="s">
        <v>17</v>
      </c>
      <c r="AK28" s="7" t="s">
        <v>17</v>
      </c>
      <c r="AL28" s="7"/>
      <c r="AM28" s="7"/>
      <c r="AN28" s="7"/>
      <c r="AO28" s="7"/>
      <c r="AP28" s="7" t="s">
        <v>17</v>
      </c>
      <c r="AQ28" s="7" t="s">
        <v>17</v>
      </c>
      <c r="AR28" s="7" t="s">
        <v>51</v>
      </c>
      <c r="AS28" s="7"/>
      <c r="AT28" s="7" t="s">
        <v>17</v>
      </c>
      <c r="AU28" s="7"/>
      <c r="AV28" s="7"/>
      <c r="AW28" s="7"/>
      <c r="AX28" s="7" t="s">
        <v>17</v>
      </c>
      <c r="AY28" s="7" t="s">
        <v>52</v>
      </c>
      <c r="AZ28" s="7" t="s">
        <v>53</v>
      </c>
      <c r="BA28" s="7" t="s">
        <v>53</v>
      </c>
      <c r="BB28" s="7" t="s">
        <v>54</v>
      </c>
      <c r="BC28" s="7" t="s">
        <v>55</v>
      </c>
    </row>
    <row r="29" spans="1:55" hidden="1" x14ac:dyDescent="0.25">
      <c r="A29">
        <v>7</v>
      </c>
      <c r="B29" s="2">
        <v>46233</v>
      </c>
      <c r="C29">
        <v>7</v>
      </c>
      <c r="D29" s="7" t="s">
        <v>201</v>
      </c>
      <c r="E29" s="1" t="str">
        <f>IF(拣货单明细[[#This Row],[任务子类型]]="拆零拣打一体","一体化",VLOOKUP(拣货单明细[[#This Row],[拣货分区]],前后场备注[#All],2,0)&amp;"合流")</f>
        <v>一体化</v>
      </c>
      <c r="F29" s="7" t="s">
        <v>202</v>
      </c>
      <c r="G29" s="7" t="s">
        <v>27</v>
      </c>
      <c r="H29" s="7" t="s">
        <v>203</v>
      </c>
      <c r="I29" s="7" t="s">
        <v>30</v>
      </c>
      <c r="J29" s="7" t="s">
        <v>146</v>
      </c>
      <c r="K29" s="8">
        <v>46233.323240740741</v>
      </c>
      <c r="L29" s="8">
        <v>46233.323368055557</v>
      </c>
      <c r="M29" s="7">
        <v>3.0555555555555553E-3</v>
      </c>
      <c r="N29" s="7">
        <v>1</v>
      </c>
      <c r="O29" s="7">
        <v>1</v>
      </c>
      <c r="P29" s="7" t="s">
        <v>17</v>
      </c>
      <c r="Q29" s="7" t="s">
        <v>102</v>
      </c>
      <c r="R29" s="7" t="s">
        <v>100</v>
      </c>
      <c r="S29" s="7" t="s">
        <v>64</v>
      </c>
      <c r="T29" s="7" t="s">
        <v>44</v>
      </c>
      <c r="U29" s="7" t="s">
        <v>45</v>
      </c>
      <c r="V29" s="7"/>
      <c r="W29" s="7" t="s">
        <v>46</v>
      </c>
      <c r="X29" s="7" t="s">
        <v>47</v>
      </c>
      <c r="Y29" s="7" t="s">
        <v>48</v>
      </c>
      <c r="Z29" s="7" t="s">
        <v>49</v>
      </c>
      <c r="AA29" s="7"/>
      <c r="AB29" s="7"/>
      <c r="AC29" s="7" t="s">
        <v>49</v>
      </c>
      <c r="AD29" s="7"/>
      <c r="AE29" s="7" t="s">
        <v>45</v>
      </c>
      <c r="AF29" s="7" t="s">
        <v>101</v>
      </c>
      <c r="AG29" s="7" t="s">
        <v>17</v>
      </c>
      <c r="AH29" s="7" t="s">
        <v>17</v>
      </c>
      <c r="AI29" s="7" t="s">
        <v>17</v>
      </c>
      <c r="AJ29" s="7" t="s">
        <v>17</v>
      </c>
      <c r="AK29" s="7" t="s">
        <v>17</v>
      </c>
      <c r="AL29" s="7"/>
      <c r="AM29" s="7"/>
      <c r="AN29" s="7"/>
      <c r="AO29" s="7"/>
      <c r="AP29" s="7" t="s">
        <v>17</v>
      </c>
      <c r="AQ29" s="7" t="s">
        <v>17</v>
      </c>
      <c r="AR29" s="7" t="s">
        <v>51</v>
      </c>
      <c r="AS29" s="7"/>
      <c r="AT29" s="7" t="s">
        <v>17</v>
      </c>
      <c r="AU29" s="7"/>
      <c r="AV29" s="7"/>
      <c r="AW29" s="7"/>
      <c r="AX29" s="7" t="s">
        <v>17</v>
      </c>
      <c r="AY29" s="7" t="s">
        <v>52</v>
      </c>
      <c r="AZ29" s="7" t="s">
        <v>53</v>
      </c>
      <c r="BA29" s="7" t="s">
        <v>53</v>
      </c>
      <c r="BB29" s="7" t="s">
        <v>54</v>
      </c>
      <c r="BC29" s="7" t="s">
        <v>55</v>
      </c>
    </row>
  </sheetData>
  <dataConsolidate/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2A6BA-3BA2-4E54-80D7-11576C22A51F}">
  <dimension ref="A1:C7"/>
  <sheetViews>
    <sheetView tabSelected="1" workbookViewId="0">
      <selection activeCell="X8" sqref="X8"/>
    </sheetView>
  </sheetViews>
  <sheetFormatPr defaultRowHeight="13.8" x14ac:dyDescent="0.25"/>
  <cols>
    <col min="1" max="1" width="15.77734375" bestFit="1" customWidth="1"/>
    <col min="2" max="2" width="8.88671875" bestFit="1" customWidth="1"/>
    <col min="3" max="3" width="5.5546875" bestFit="1" customWidth="1"/>
    <col min="4" max="17" width="5.109375" bestFit="1" customWidth="1"/>
    <col min="18" max="18" width="5.5546875" bestFit="1" customWidth="1"/>
  </cols>
  <sheetData>
    <row r="1" spans="1:3" x14ac:dyDescent="0.25">
      <c r="A1" s="3" t="s">
        <v>14</v>
      </c>
      <c r="B1" t="s">
        <v>204</v>
      </c>
    </row>
    <row r="3" spans="1:3" x14ac:dyDescent="0.25">
      <c r="A3" s="3" t="s">
        <v>18</v>
      </c>
      <c r="B3" s="3" t="s">
        <v>17</v>
      </c>
    </row>
    <row r="4" spans="1:3" x14ac:dyDescent="0.25">
      <c r="A4" s="3" t="s">
        <v>19</v>
      </c>
      <c r="B4" s="1">
        <v>7</v>
      </c>
      <c r="C4" t="s">
        <v>16</v>
      </c>
    </row>
    <row r="5" spans="1:3" x14ac:dyDescent="0.25">
      <c r="A5" s="1" t="s">
        <v>40</v>
      </c>
      <c r="B5" s="4">
        <v>238.48580441640382</v>
      </c>
      <c r="C5" s="4">
        <v>238.48580441640379</v>
      </c>
    </row>
    <row r="6" spans="1:3" x14ac:dyDescent="0.25">
      <c r="A6" s="5" t="s">
        <v>154</v>
      </c>
      <c r="B6" s="4">
        <v>270</v>
      </c>
      <c r="C6" s="4">
        <v>270</v>
      </c>
    </row>
    <row r="7" spans="1:3" x14ac:dyDescent="0.25">
      <c r="A7" s="5" t="s">
        <v>150</v>
      </c>
      <c r="B7" s="4">
        <v>223.963133640553</v>
      </c>
      <c r="C7" s="4">
        <v>223.963133640553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8BC96-5E40-4E24-AB8A-360942C2D8FB}">
  <dimension ref="A1:C9"/>
  <sheetViews>
    <sheetView workbookViewId="0">
      <selection activeCell="I19" sqref="I19"/>
    </sheetView>
  </sheetViews>
  <sheetFormatPr defaultRowHeight="13.8" x14ac:dyDescent="0.25"/>
  <cols>
    <col min="1" max="1" width="14.77734375" bestFit="1" customWidth="1"/>
    <col min="2" max="2" width="10.109375" bestFit="1" customWidth="1"/>
    <col min="3" max="3" width="5.5546875" bestFit="1" customWidth="1"/>
    <col min="4" max="10" width="5.109375" bestFit="1" customWidth="1"/>
    <col min="11" max="11" width="5.5546875" bestFit="1" customWidth="1"/>
  </cols>
  <sheetData>
    <row r="1" spans="1:3" x14ac:dyDescent="0.25">
      <c r="A1" s="3" t="s">
        <v>11</v>
      </c>
      <c r="B1" s="6">
        <v>7</v>
      </c>
    </row>
    <row r="3" spans="1:3" x14ac:dyDescent="0.25">
      <c r="A3" s="3" t="s">
        <v>18</v>
      </c>
      <c r="B3" s="3" t="s">
        <v>17</v>
      </c>
    </row>
    <row r="4" spans="1:3" x14ac:dyDescent="0.25">
      <c r="A4" s="3" t="s">
        <v>19</v>
      </c>
      <c r="B4" s="2">
        <v>46233</v>
      </c>
      <c r="C4" s="2" t="s">
        <v>16</v>
      </c>
    </row>
    <row r="5" spans="1:3" x14ac:dyDescent="0.25">
      <c r="A5" s="1" t="s">
        <v>28</v>
      </c>
      <c r="B5" s="4">
        <v>163.42412451361869</v>
      </c>
      <c r="C5" s="4">
        <v>163.42412451361869</v>
      </c>
    </row>
    <row r="6" spans="1:3" x14ac:dyDescent="0.25">
      <c r="A6" s="5" t="s">
        <v>31</v>
      </c>
      <c r="B6" s="4">
        <v>221.22905027932961</v>
      </c>
      <c r="C6" s="4">
        <v>221.22905027932961</v>
      </c>
    </row>
    <row r="7" spans="1:3" x14ac:dyDescent="0.25">
      <c r="A7" s="5" t="s">
        <v>146</v>
      </c>
      <c r="B7" s="4">
        <v>120.93023255813954</v>
      </c>
      <c r="C7" s="4">
        <v>120.93023255813954</v>
      </c>
    </row>
    <row r="8" spans="1:3" x14ac:dyDescent="0.25">
      <c r="A8" s="5" t="s">
        <v>150</v>
      </c>
      <c r="B8" s="4">
        <v>176.47058823529412</v>
      </c>
      <c r="C8" s="4">
        <v>176.47058823529412</v>
      </c>
    </row>
    <row r="9" spans="1:3" x14ac:dyDescent="0.25">
      <c r="A9" s="5" t="s">
        <v>154</v>
      </c>
      <c r="B9" s="4">
        <v>209.70873786407768</v>
      </c>
      <c r="C9" s="4">
        <v>209.70873786407768</v>
      </c>
    </row>
  </sheetData>
  <phoneticPr fontId="1" type="noConversion"/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作业类型</t>
        </is>
      </c>
      <c r="B1" t="inlineStr">
        <is>
          <t xml:space="preserve">拣货行数</t>
        </is>
      </c>
      <c r="C1" t="inlineStr">
        <is>
          <t xml:space="preserve">时长(h)</t>
        </is>
      </c>
      <c r="D1" t="inlineStr">
        <is>
          <t xml:space="preserve">效率(行/h)</t>
        </is>
      </c>
    </row>
    <row r="2">
      <c r="A2" t="inlineStr">
        <is>
          <t xml:space="preserve">后场合流合流</t>
        </is>
      </c>
      <c r="B2">
        <v>7183</v>
      </c>
      <c r="C2">
        <v>28.0144</v>
      </c>
      <c r="D2">
        <v>256.4</v>
      </c>
    </row>
    <row r="3">
      <c r="A3" t="inlineStr">
        <is>
          <t xml:space="preserve">一体化</t>
        </is>
      </c>
      <c r="B3">
        <v>2699</v>
      </c>
      <c r="C3">
        <v>17.6069</v>
      </c>
      <c r="D3">
        <v>153.29</v>
      </c>
    </row>
    <row r="4">
      <c r="A4" t="inlineStr">
        <is>
          <t xml:space="preserve">前场合流合流</t>
        </is>
      </c>
      <c r="B4">
        <v>3603</v>
      </c>
      <c r="C4">
        <v>51.2106</v>
      </c>
      <c r="D4">
        <v>70.36</v>
      </c>
    </row>
    <row r="5">
      <c r="A5" t="inlineStr">
        <is>
          <t xml:space="preserve">总计</t>
        </is>
      </c>
      <c r="B5">
        <v>13485</v>
      </c>
      <c r="C5">
        <v>96.8319</v>
      </c>
      <c r="D5">
        <v>139.26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 xml:space="preserve">拣货人</t>
        </is>
      </c>
      <c r="B1" t="inlineStr">
        <is>
          <t xml:space="preserve">拣货行数</t>
        </is>
      </c>
      <c r="C1" t="inlineStr">
        <is>
          <t xml:space="preserve">时长(h)</t>
        </is>
      </c>
      <c r="D1" t="inlineStr">
        <is>
          <t xml:space="preserve">效率(行/h)</t>
        </is>
      </c>
    </row>
    <row r="2">
      <c r="A2" t="inlineStr">
        <is>
          <t xml:space="preserve">李金阳</t>
        </is>
      </c>
      <c r="B2">
        <v>16</v>
      </c>
      <c r="C2">
        <v>0.0536</v>
      </c>
      <c r="D2">
        <v>298.45</v>
      </c>
    </row>
    <row r="3">
      <c r="A3" t="inlineStr">
        <is>
          <t xml:space="preserve">杨嘉晨</t>
        </is>
      </c>
      <c r="B3">
        <v>138</v>
      </c>
      <c r="C3">
        <v>0.4642</v>
      </c>
      <c r="D3">
        <v>297.31</v>
      </c>
    </row>
    <row r="4">
      <c r="A4" t="inlineStr">
        <is>
          <t xml:space="preserve">沈宗俊</t>
        </is>
      </c>
      <c r="B4">
        <v>1156</v>
      </c>
      <c r="C4">
        <v>4.0011</v>
      </c>
      <c r="D4">
        <v>288.92</v>
      </c>
    </row>
    <row r="5">
      <c r="A5" t="inlineStr">
        <is>
          <t xml:space="preserve">李营</t>
        </is>
      </c>
      <c r="B5">
        <v>1107</v>
      </c>
      <c r="C5">
        <v>3.905</v>
      </c>
      <c r="D5">
        <v>283.48</v>
      </c>
    </row>
    <row r="6">
      <c r="A6" t="inlineStr">
        <is>
          <t xml:space="preserve">李消</t>
        </is>
      </c>
      <c r="B6">
        <v>1025</v>
      </c>
      <c r="C6">
        <v>4.2453</v>
      </c>
      <c r="D6">
        <v>241.44</v>
      </c>
    </row>
    <row r="7">
      <c r="A7" t="inlineStr">
        <is>
          <t xml:space="preserve">杨金伟</t>
        </is>
      </c>
      <c r="B7">
        <v>631</v>
      </c>
      <c r="C7">
        <v>2.6542</v>
      </c>
      <c r="D7">
        <v>237.74</v>
      </c>
    </row>
    <row r="8">
      <c r="A8" t="inlineStr">
        <is>
          <t xml:space="preserve">戴恒</t>
        </is>
      </c>
      <c r="B8">
        <v>894</v>
      </c>
      <c r="C8">
        <v>3.7689</v>
      </c>
      <c r="D8">
        <v>237.21</v>
      </c>
    </row>
    <row r="9">
      <c r="A9" t="inlineStr">
        <is>
          <t xml:space="preserve">罗纤慧</t>
        </is>
      </c>
      <c r="B9">
        <v>941</v>
      </c>
      <c r="C9">
        <v>4.1672</v>
      </c>
      <c r="D9">
        <v>225.81</v>
      </c>
    </row>
    <row r="10">
      <c r="A10" t="inlineStr">
        <is>
          <t xml:space="preserve">吴春枝</t>
        </is>
      </c>
      <c r="B10">
        <v>867</v>
      </c>
      <c r="C10">
        <v>3.8872</v>
      </c>
      <c r="D10">
        <v>223.04</v>
      </c>
    </row>
    <row r="11">
      <c r="A11" t="inlineStr">
        <is>
          <t xml:space="preserve">杨顺琼</t>
        </is>
      </c>
      <c r="B11">
        <v>1027</v>
      </c>
      <c r="C11">
        <v>4.7564</v>
      </c>
      <c r="D11">
        <v>215.92</v>
      </c>
    </row>
    <row r="12">
      <c r="A12" t="inlineStr">
        <is>
          <t xml:space="preserve">谢向琴</t>
        </is>
      </c>
      <c r="B12">
        <v>518</v>
      </c>
      <c r="C12">
        <v>2.9256</v>
      </c>
      <c r="D12">
        <v>177.06</v>
      </c>
    </row>
    <row r="13">
      <c r="A13" t="inlineStr">
        <is>
          <t xml:space="preserve">秦付祥</t>
        </is>
      </c>
      <c r="B13">
        <v>273</v>
      </c>
      <c r="C13">
        <v>1.5925</v>
      </c>
      <c r="D13">
        <v>171.43</v>
      </c>
    </row>
    <row r="14">
      <c r="A14" t="inlineStr">
        <is>
          <t xml:space="preserve">车秀花</t>
        </is>
      </c>
      <c r="B14">
        <v>13</v>
      </c>
      <c r="C14">
        <v>0.0856</v>
      </c>
      <c r="D14">
        <v>151.95</v>
      </c>
    </row>
    <row r="15">
      <c r="A15" t="inlineStr">
        <is>
          <t xml:space="preserve">丁玥榕</t>
        </is>
      </c>
      <c r="B15">
        <v>199</v>
      </c>
      <c r="C15">
        <v>1.3892</v>
      </c>
      <c r="D15">
        <v>143.25</v>
      </c>
    </row>
    <row r="16">
      <c r="A16" t="inlineStr">
        <is>
          <t xml:space="preserve">李蓉</t>
        </is>
      </c>
      <c r="B16">
        <v>316</v>
      </c>
      <c r="C16">
        <v>2.4733</v>
      </c>
      <c r="D16">
        <v>127.76</v>
      </c>
    </row>
    <row r="17">
      <c r="A17" t="inlineStr">
        <is>
          <t xml:space="preserve">祝馨</t>
        </is>
      </c>
      <c r="B17">
        <v>340</v>
      </c>
      <c r="C17">
        <v>2.77</v>
      </c>
      <c r="D17">
        <v>122.74</v>
      </c>
    </row>
    <row r="18">
      <c r="A18" t="inlineStr">
        <is>
          <t xml:space="preserve">孙昀</t>
        </is>
      </c>
      <c r="B18">
        <v>13</v>
      </c>
      <c r="C18">
        <v>0.1067</v>
      </c>
      <c r="D18">
        <v>121.87</v>
      </c>
    </row>
    <row r="19">
      <c r="A19" t="inlineStr">
        <is>
          <t xml:space="preserve">许石钻</t>
        </is>
      </c>
      <c r="B19">
        <v>50</v>
      </c>
      <c r="C19">
        <v>0.415</v>
      </c>
      <c r="D19">
        <v>120.48</v>
      </c>
    </row>
    <row r="20">
      <c r="A20" t="inlineStr">
        <is>
          <t xml:space="preserve">赵菊会</t>
        </is>
      </c>
      <c r="B20">
        <v>454</v>
      </c>
      <c r="C20">
        <v>4.0456</v>
      </c>
      <c r="D20">
        <v>112.22</v>
      </c>
    </row>
    <row r="21">
      <c r="A21" t="inlineStr">
        <is>
          <t xml:space="preserve">闵福星</t>
        </is>
      </c>
      <c r="B21">
        <v>37</v>
      </c>
      <c r="C21">
        <v>0.3494</v>
      </c>
      <c r="D21">
        <v>105.88</v>
      </c>
    </row>
    <row r="22">
      <c r="A22" t="inlineStr">
        <is>
          <t xml:space="preserve">段锦涵</t>
        </is>
      </c>
      <c r="B22">
        <v>409</v>
      </c>
      <c r="C22">
        <v>4.1208</v>
      </c>
      <c r="D22">
        <v>99.25</v>
      </c>
    </row>
    <row r="23">
      <c r="A23" t="inlineStr">
        <is>
          <t xml:space="preserve">付政</t>
        </is>
      </c>
      <c r="B23">
        <v>37</v>
      </c>
      <c r="C23">
        <v>0.3922</v>
      </c>
      <c r="D23">
        <v>94.33</v>
      </c>
    </row>
    <row r="24">
      <c r="A24" t="inlineStr">
        <is>
          <t xml:space="preserve">陈佳梅</t>
        </is>
      </c>
      <c r="B24">
        <v>346</v>
      </c>
      <c r="C24">
        <v>3.8892</v>
      </c>
      <c r="D24">
        <v>88.97</v>
      </c>
    </row>
    <row r="25">
      <c r="A25" t="inlineStr">
        <is>
          <t xml:space="preserve">周凡倢</t>
        </is>
      </c>
      <c r="B25">
        <v>109</v>
      </c>
      <c r="C25">
        <v>1.2669</v>
      </c>
      <c r="D25">
        <v>86.03</v>
      </c>
    </row>
    <row r="26">
      <c r="A26" t="inlineStr">
        <is>
          <t xml:space="preserve">朱伟</t>
        </is>
      </c>
      <c r="B26">
        <v>33</v>
      </c>
      <c r="C26">
        <v>0.3908</v>
      </c>
      <c r="D26">
        <v>84.43</v>
      </c>
    </row>
    <row r="27">
      <c r="A27" t="inlineStr">
        <is>
          <t xml:space="preserve">张晋杰</t>
        </is>
      </c>
      <c r="B27">
        <v>282</v>
      </c>
      <c r="C27">
        <v>3.3419</v>
      </c>
      <c r="D27">
        <v>84.38</v>
      </c>
    </row>
    <row r="28">
      <c r="A28" t="inlineStr">
        <is>
          <t xml:space="preserve">钱明艳</t>
        </is>
      </c>
      <c r="B28">
        <v>118</v>
      </c>
      <c r="C28">
        <v>1.4017</v>
      </c>
      <c r="D28">
        <v>84.19</v>
      </c>
    </row>
    <row r="29">
      <c r="A29" t="inlineStr">
        <is>
          <t xml:space="preserve">朱桂鋆</t>
        </is>
      </c>
      <c r="B29">
        <v>220</v>
      </c>
      <c r="C29">
        <v>2.6481</v>
      </c>
      <c r="D29">
        <v>83.08</v>
      </c>
    </row>
    <row r="30">
      <c r="A30" t="inlineStr">
        <is>
          <t xml:space="preserve">高娟</t>
        </is>
      </c>
      <c r="B30">
        <v>218</v>
      </c>
      <c r="C30">
        <v>2.7569</v>
      </c>
      <c r="D30">
        <v>79.07</v>
      </c>
    </row>
    <row r="31">
      <c r="A31" t="inlineStr">
        <is>
          <t xml:space="preserve">吴思涵</t>
        </is>
      </c>
      <c r="B31">
        <v>192</v>
      </c>
      <c r="C31">
        <v>2.4331</v>
      </c>
      <c r="D31">
        <v>78.91</v>
      </c>
    </row>
    <row r="32">
      <c r="A32" t="inlineStr">
        <is>
          <t xml:space="preserve">卢书熠</t>
        </is>
      </c>
      <c r="B32">
        <v>29</v>
      </c>
      <c r="C32">
        <v>0.3781</v>
      </c>
      <c r="D32">
        <v>76.71</v>
      </c>
    </row>
    <row r="33">
      <c r="A33" t="inlineStr">
        <is>
          <t xml:space="preserve">孙增昊</t>
        </is>
      </c>
      <c r="B33">
        <v>230</v>
      </c>
      <c r="C33">
        <v>3.2736</v>
      </c>
      <c r="D33">
        <v>70.26</v>
      </c>
    </row>
    <row r="34">
      <c r="A34" t="inlineStr">
        <is>
          <t xml:space="preserve">段碧莲</t>
        </is>
      </c>
      <c r="B34">
        <v>151</v>
      </c>
      <c r="C34">
        <v>2.2081</v>
      </c>
      <c r="D34">
        <v>68.39</v>
      </c>
    </row>
    <row r="35">
      <c r="A35" t="inlineStr">
        <is>
          <t xml:space="preserve">周楚涵</t>
        </is>
      </c>
      <c r="B35">
        <v>238</v>
      </c>
      <c r="C35">
        <v>3.7464</v>
      </c>
      <c r="D35">
        <v>63.53</v>
      </c>
    </row>
    <row r="36">
      <c r="A36" t="inlineStr">
        <is>
          <t xml:space="preserve">邰心语</t>
        </is>
      </c>
      <c r="B36">
        <v>248</v>
      </c>
      <c r="C36">
        <v>4.1042</v>
      </c>
      <c r="D36">
        <v>60.43</v>
      </c>
    </row>
    <row r="37">
      <c r="A37" t="inlineStr">
        <is>
          <t xml:space="preserve">杨雅恋</t>
        </is>
      </c>
      <c r="B37">
        <v>195</v>
      </c>
      <c r="C37">
        <v>3.3597</v>
      </c>
      <c r="D37">
        <v>58.04</v>
      </c>
    </row>
    <row r="38">
      <c r="A38" t="inlineStr">
        <is>
          <t xml:space="preserve">刘令兼</t>
        </is>
      </c>
      <c r="B38">
        <v>21</v>
      </c>
      <c r="C38">
        <v>0.3833</v>
      </c>
      <c r="D38">
        <v>54.78</v>
      </c>
    </row>
    <row r="39">
      <c r="A39" t="inlineStr">
        <is>
          <t xml:space="preserve">唐智耀</t>
        </is>
      </c>
      <c r="B39">
        <v>213</v>
      </c>
      <c r="C39">
        <v>4.6647</v>
      </c>
      <c r="D39">
        <v>45.66</v>
      </c>
    </row>
    <row r="40">
      <c r="A40" t="inlineStr">
        <is>
          <t xml:space="preserve">刘蕊</t>
        </is>
      </c>
      <c r="B40">
        <v>180</v>
      </c>
      <c r="C40">
        <v>3.9936</v>
      </c>
      <c r="D40">
        <v>45.07</v>
      </c>
    </row>
    <row r="41">
      <c r="A41" t="inlineStr">
        <is>
          <t xml:space="preserve">徐青</t>
        </is>
      </c>
      <c r="B41">
        <v>1</v>
      </c>
      <c r="C41">
        <v>0.0228</v>
      </c>
      <c r="D41">
        <v>43.9</v>
      </c>
    </row>
    <row r="42">
      <c r="A42" t="inlineStr">
        <is>
          <t xml:space="preserve">总计</t>
        </is>
      </c>
      <c r="B42">
        <v>13485</v>
      </c>
      <c r="C42">
        <v>96.8319</v>
      </c>
      <c r="D42">
        <v>139.26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 xml:space="preserve">小时</t>
        </is>
      </c>
      <c r="B1" t="inlineStr">
        <is>
          <t xml:space="preserve">拣货行数</t>
        </is>
      </c>
      <c r="C1" t="inlineStr">
        <is>
          <t xml:space="preserve">时长(h)</t>
        </is>
      </c>
      <c r="D1" t="inlineStr">
        <is>
          <t xml:space="preserve">效率(行/h)</t>
        </is>
      </c>
    </row>
    <row r="2">
      <c r="A2" t="inlineStr">
        <is>
          <t xml:space="preserve">7点</t>
        </is>
      </c>
      <c r="B2">
        <v>320</v>
      </c>
      <c r="C2">
        <v>2.2981</v>
      </c>
      <c r="D2">
        <v>139.25</v>
      </c>
    </row>
    <row r="3">
      <c r="A3" t="inlineStr">
        <is>
          <t xml:space="preserve">8点</t>
        </is>
      </c>
      <c r="B3">
        <v>533</v>
      </c>
      <c r="C3">
        <v>3.6939</v>
      </c>
      <c r="D3">
        <v>144.29</v>
      </c>
    </row>
    <row r="4">
      <c r="A4" t="inlineStr">
        <is>
          <t xml:space="preserve">9点</t>
        </is>
      </c>
      <c r="B4">
        <v>916</v>
      </c>
      <c r="C4">
        <v>5.7669</v>
      </c>
      <c r="D4">
        <v>158.84</v>
      </c>
    </row>
    <row r="5">
      <c r="A5" t="inlineStr">
        <is>
          <t xml:space="preserve">10点</t>
        </is>
      </c>
      <c r="B5">
        <v>1241</v>
      </c>
      <c r="C5">
        <v>7.535</v>
      </c>
      <c r="D5">
        <v>164.7</v>
      </c>
    </row>
    <row r="6">
      <c r="A6" t="inlineStr">
        <is>
          <t xml:space="preserve">11点</t>
        </is>
      </c>
      <c r="B6">
        <v>1009</v>
      </c>
      <c r="C6">
        <v>6.5094</v>
      </c>
      <c r="D6">
        <v>155.01</v>
      </c>
    </row>
    <row r="7">
      <c r="A7" t="inlineStr">
        <is>
          <t xml:space="preserve">12点</t>
        </is>
      </c>
      <c r="B7">
        <v>673</v>
      </c>
      <c r="C7">
        <v>4.6292</v>
      </c>
      <c r="D7">
        <v>145.38</v>
      </c>
    </row>
    <row r="8">
      <c r="A8" t="inlineStr">
        <is>
          <t xml:space="preserve">13点</t>
        </is>
      </c>
      <c r="B8">
        <v>645</v>
      </c>
      <c r="C8">
        <v>4.0733</v>
      </c>
      <c r="D8">
        <v>158.35</v>
      </c>
    </row>
    <row r="9">
      <c r="A9" t="inlineStr">
        <is>
          <t xml:space="preserve">14点</t>
        </is>
      </c>
      <c r="B9">
        <v>740</v>
      </c>
      <c r="C9">
        <v>4.8431</v>
      </c>
      <c r="D9">
        <v>152.8</v>
      </c>
    </row>
    <row r="10">
      <c r="A10" t="inlineStr">
        <is>
          <t xml:space="preserve">15点</t>
        </is>
      </c>
      <c r="B10">
        <v>942</v>
      </c>
      <c r="C10">
        <v>6.6919</v>
      </c>
      <c r="D10">
        <v>140.77</v>
      </c>
    </row>
    <row r="11">
      <c r="A11" t="inlineStr">
        <is>
          <t xml:space="preserve">16点</t>
        </is>
      </c>
      <c r="B11">
        <v>1370</v>
      </c>
      <c r="C11">
        <v>10.7811</v>
      </c>
      <c r="D11">
        <v>127.07</v>
      </c>
    </row>
    <row r="12">
      <c r="A12" t="inlineStr">
        <is>
          <t xml:space="preserve">17点</t>
        </is>
      </c>
      <c r="B12">
        <v>1407</v>
      </c>
      <c r="C12">
        <v>10.4133</v>
      </c>
      <c r="D12">
        <v>135.12</v>
      </c>
    </row>
    <row r="13">
      <c r="A13" t="inlineStr">
        <is>
          <t xml:space="preserve">18点</t>
        </is>
      </c>
      <c r="B13">
        <v>1021</v>
      </c>
      <c r="C13">
        <v>7.9028</v>
      </c>
      <c r="D13">
        <v>129.2</v>
      </c>
    </row>
    <row r="14">
      <c r="A14" t="inlineStr">
        <is>
          <t xml:space="preserve">19点</t>
        </is>
      </c>
      <c r="B14">
        <v>1044</v>
      </c>
      <c r="C14">
        <v>8.1108</v>
      </c>
      <c r="D14">
        <v>128.72</v>
      </c>
    </row>
    <row r="15">
      <c r="A15" t="inlineStr">
        <is>
          <t xml:space="preserve">20点</t>
        </is>
      </c>
      <c r="B15">
        <v>1058</v>
      </c>
      <c r="C15">
        <v>8.1983</v>
      </c>
      <c r="D15">
        <v>129.05</v>
      </c>
    </row>
    <row r="16">
      <c r="A16" t="inlineStr">
        <is>
          <t xml:space="preserve">21点</t>
        </is>
      </c>
      <c r="B16">
        <v>506</v>
      </c>
      <c r="C16">
        <v>4.8</v>
      </c>
      <c r="D16">
        <v>105.42</v>
      </c>
    </row>
    <row r="17">
      <c r="A17" t="inlineStr">
        <is>
          <t xml:space="preserve">22点</t>
        </is>
      </c>
      <c r="B17">
        <v>60</v>
      </c>
      <c r="C17">
        <v>0.5847</v>
      </c>
      <c r="D17">
        <v>102.61</v>
      </c>
    </row>
    <row r="18">
      <c r="A18" t="inlineStr">
        <is>
          <t xml:space="preserve">总计</t>
        </is>
      </c>
      <c r="B18">
        <v>13485</v>
      </c>
      <c r="C18">
        <v>96.8319</v>
      </c>
      <c r="D18">
        <v>139.26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 xml:space="preserve">作业类型</t>
        </is>
      </c>
      <c r="B1" t="inlineStr">
        <is>
          <t xml:space="preserve">7点</t>
        </is>
      </c>
      <c r="C1" t="inlineStr">
        <is>
          <t xml:space="preserve">8点</t>
        </is>
      </c>
      <c r="D1" t="inlineStr">
        <is>
          <t xml:space="preserve">9点</t>
        </is>
      </c>
      <c r="E1" t="inlineStr">
        <is>
          <t xml:space="preserve">10点</t>
        </is>
      </c>
      <c r="F1" t="inlineStr">
        <is>
          <t xml:space="preserve">11点</t>
        </is>
      </c>
      <c r="G1" t="inlineStr">
        <is>
          <t xml:space="preserve">12点</t>
        </is>
      </c>
      <c r="H1" t="inlineStr">
        <is>
          <t xml:space="preserve">13点</t>
        </is>
      </c>
      <c r="I1" t="inlineStr">
        <is>
          <t xml:space="preserve">14点</t>
        </is>
      </c>
      <c r="J1" t="inlineStr">
        <is>
          <t xml:space="preserve">15点</t>
        </is>
      </c>
      <c r="K1" t="inlineStr">
        <is>
          <t xml:space="preserve">16点</t>
        </is>
      </c>
      <c r="L1" t="inlineStr">
        <is>
          <t xml:space="preserve">17点</t>
        </is>
      </c>
      <c r="M1" t="inlineStr">
        <is>
          <t xml:space="preserve">18点</t>
        </is>
      </c>
      <c r="N1" t="inlineStr">
        <is>
          <t xml:space="preserve">19点</t>
        </is>
      </c>
      <c r="O1" t="inlineStr">
        <is>
          <t xml:space="preserve">20点</t>
        </is>
      </c>
      <c r="P1" t="inlineStr">
        <is>
          <t xml:space="preserve">21点</t>
        </is>
      </c>
      <c r="Q1" t="inlineStr">
        <is>
          <t xml:space="preserve">22点</t>
        </is>
      </c>
      <c r="R1" t="inlineStr">
        <is>
          <t xml:space="preserve">全天</t>
        </is>
      </c>
    </row>
    <row r="2">
      <c r="A2" t="inlineStr">
        <is>
          <t xml:space="preserve">后场合流合流</t>
        </is>
      </c>
      <c r="B2">
        <v>264.59</v>
      </c>
      <c r="C2">
        <v>281.07</v>
      </c>
      <c r="D2">
        <v>264.96</v>
      </c>
      <c r="E2">
        <v>273.2</v>
      </c>
      <c r="F2">
        <v>261.02</v>
      </c>
      <c r="G2">
        <v>281.18</v>
      </c>
      <c r="H2">
        <v>260.53</v>
      </c>
      <c r="I2">
        <v>252.84</v>
      </c>
      <c r="J2">
        <v>267.44</v>
      </c>
      <c r="K2">
        <v>261.16</v>
      </c>
      <c r="L2">
        <v>267.87</v>
      </c>
      <c r="M2">
        <v>265.96</v>
      </c>
      <c r="N2">
        <v>237.65</v>
      </c>
      <c r="O2">
        <v>235.04</v>
      </c>
      <c r="P2">
        <v>174.04</v>
      </c>
      <c r="Q2">
        <v>174.51</v>
      </c>
      <c r="R2">
        <v>256.4</v>
      </c>
    </row>
    <row r="3">
      <c r="A3" t="inlineStr">
        <is>
          <t xml:space="preserve">一体化</t>
        </is>
      </c>
      <c r="B3">
        <v>149.38</v>
      </c>
      <c r="C3">
        <v>141.87</v>
      </c>
      <c r="D3">
        <v>141.94</v>
      </c>
      <c r="E3">
        <v>153.12</v>
      </c>
      <c r="F3">
        <v>167.12</v>
      </c>
      <c r="G3">
        <v>151.63</v>
      </c>
      <c r="H3">
        <v>160.59</v>
      </c>
      <c r="I3">
        <v>142.72</v>
      </c>
      <c r="J3">
        <v>147.69</v>
      </c>
      <c r="K3">
        <v>158.68</v>
      </c>
      <c r="L3">
        <v>165.26</v>
      </c>
      <c r="M3">
        <v>168.0</v>
      </c>
      <c r="N3">
        <v>161.73</v>
      </c>
      <c r="O3">
        <v>153.9</v>
      </c>
      <c r="P3">
        <v>138.46</v>
      </c>
      <c r="Q3">
        <v>126.32</v>
      </c>
      <c r="R3">
        <v>153.29</v>
      </c>
    </row>
    <row r="4">
      <c r="A4" t="inlineStr">
        <is>
          <t xml:space="preserve">前场合流合流</t>
        </is>
      </c>
      <c r="B4">
        <v>53.18</v>
      </c>
      <c r="C4">
        <v>60.67</v>
      </c>
      <c r="D4">
        <v>81.99</v>
      </c>
      <c r="E4">
        <v>85.97</v>
      </c>
      <c r="F4">
        <v>71.36</v>
      </c>
      <c r="G4">
        <v>75.04</v>
      </c>
      <c r="H4">
        <v>75.39</v>
      </c>
      <c r="I4">
        <v>77.62</v>
      </c>
      <c r="J4">
        <v>66.9</v>
      </c>
      <c r="K4">
        <v>59.29</v>
      </c>
      <c r="L4">
        <v>68.32</v>
      </c>
      <c r="M4">
        <v>68.58</v>
      </c>
      <c r="N4">
        <v>75.96</v>
      </c>
      <c r="O4">
        <v>74.89</v>
      </c>
      <c r="P4">
        <v>63.68</v>
      </c>
      <c r="Q4">
        <v>62.69</v>
      </c>
      <c r="R4">
        <v>70.36</v>
      </c>
    </row>
    <row r="5">
      <c r="A5" t="inlineStr">
        <is>
          <t xml:space="preserve">合计</t>
        </is>
      </c>
      <c r="B5">
        <v>139.25</v>
      </c>
      <c r="C5">
        <v>144.29</v>
      </c>
      <c r="D5">
        <v>158.84</v>
      </c>
      <c r="E5">
        <v>164.7</v>
      </c>
      <c r="F5">
        <v>155.01</v>
      </c>
      <c r="G5">
        <v>145.38</v>
      </c>
      <c r="H5">
        <v>158.35</v>
      </c>
      <c r="I5">
        <v>152.8</v>
      </c>
      <c r="J5">
        <v>140.77</v>
      </c>
      <c r="K5">
        <v>127.07</v>
      </c>
      <c r="L5">
        <v>135.12</v>
      </c>
      <c r="M5">
        <v>129.2</v>
      </c>
      <c r="N5">
        <v>128.72</v>
      </c>
      <c r="O5">
        <v>129.05</v>
      </c>
      <c r="P5">
        <v>105.42</v>
      </c>
      <c r="Q5">
        <v>102.61</v>
      </c>
      <c r="R5">
        <v>139.26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 xml:space="preserve">作业类型</t>
        </is>
      </c>
      <c r="B1" t="inlineStr">
        <is>
          <t xml:space="preserve">拣货人</t>
        </is>
      </c>
      <c r="C1" t="inlineStr">
        <is>
          <t xml:space="preserve">7点</t>
        </is>
      </c>
      <c r="D1" t="inlineStr">
        <is>
          <t xml:space="preserve">8点</t>
        </is>
      </c>
      <c r="E1" t="inlineStr">
        <is>
          <t xml:space="preserve">9点</t>
        </is>
      </c>
      <c r="F1" t="inlineStr">
        <is>
          <t xml:space="preserve">10点</t>
        </is>
      </c>
      <c r="G1" t="inlineStr">
        <is>
          <t xml:space="preserve">11点</t>
        </is>
      </c>
      <c r="H1" t="inlineStr">
        <is>
          <t xml:space="preserve">12点</t>
        </is>
      </c>
      <c r="I1" t="inlineStr">
        <is>
          <t xml:space="preserve">13点</t>
        </is>
      </c>
      <c r="J1" t="inlineStr">
        <is>
          <t xml:space="preserve">14点</t>
        </is>
      </c>
      <c r="K1" t="inlineStr">
        <is>
          <t xml:space="preserve">15点</t>
        </is>
      </c>
      <c r="L1" t="inlineStr">
        <is>
          <t xml:space="preserve">16点</t>
        </is>
      </c>
      <c r="M1" t="inlineStr">
        <is>
          <t xml:space="preserve">17点</t>
        </is>
      </c>
      <c r="N1" t="inlineStr">
        <is>
          <t xml:space="preserve">18点</t>
        </is>
      </c>
      <c r="O1" t="inlineStr">
        <is>
          <t xml:space="preserve">19点</t>
        </is>
      </c>
      <c r="P1" t="inlineStr">
        <is>
          <t xml:space="preserve">20点</t>
        </is>
      </c>
      <c r="Q1" t="inlineStr">
        <is>
          <t xml:space="preserve">21点</t>
        </is>
      </c>
      <c r="R1" t="inlineStr">
        <is>
          <t xml:space="preserve">22点</t>
        </is>
      </c>
      <c r="S1" t="inlineStr">
        <is>
          <t xml:space="preserve">总计</t>
        </is>
      </c>
    </row>
    <row r="2">
      <c r="A2" t="inlineStr">
        <is>
          <t xml:space="preserve">后场合流合流</t>
        </is>
      </c>
      <c r="B2" t="inlineStr">
        <is>
          <t xml:space="preserve">李营</t>
        </is>
      </c>
      <c r="D2">
        <v>327.62</v>
      </c>
      <c r="E2">
        <v>317.23</v>
      </c>
      <c r="F2">
        <v>309.17</v>
      </c>
      <c r="G2">
        <v>356.08</v>
      </c>
      <c r="H2">
        <v>400.0</v>
      </c>
      <c r="I2">
        <v>289.09</v>
      </c>
      <c r="J2">
        <v>274.86</v>
      </c>
      <c r="K2">
        <v>317.85</v>
      </c>
      <c r="L2">
        <v>276.66</v>
      </c>
      <c r="M2">
        <v>367.04</v>
      </c>
      <c r="N2">
        <v>376.82</v>
      </c>
      <c r="S2">
        <v>326.42</v>
      </c>
    </row>
    <row r="3">
      <c r="A3" t="inlineStr">
        <is>
          <t xml:space="preserve">后场合流合流</t>
        </is>
      </c>
      <c r="B3" t="inlineStr">
        <is>
          <t xml:space="preserve">沈宗俊</t>
        </is>
      </c>
      <c r="E3">
        <v>325.79</v>
      </c>
      <c r="F3">
        <v>335.4</v>
      </c>
      <c r="G3">
        <v>310.59</v>
      </c>
      <c r="H3">
        <v>334.66</v>
      </c>
      <c r="I3">
        <v>324.91</v>
      </c>
      <c r="J3">
        <v>325.71</v>
      </c>
      <c r="K3">
        <v>311.21</v>
      </c>
      <c r="L3">
        <v>300.29</v>
      </c>
      <c r="M3">
        <v>336.22</v>
      </c>
      <c r="N3">
        <v>297.52</v>
      </c>
      <c r="O3">
        <v>276.73</v>
      </c>
      <c r="P3">
        <v>289.76</v>
      </c>
      <c r="S3">
        <v>312.89</v>
      </c>
    </row>
    <row r="4">
      <c r="A4" t="inlineStr">
        <is>
          <t xml:space="preserve">后场合流合流</t>
        </is>
      </c>
      <c r="B4" t="inlineStr">
        <is>
          <t xml:space="preserve">杨嘉晨</t>
        </is>
      </c>
      <c r="O4">
        <v>162.41</v>
      </c>
      <c r="P4">
        <v>315.07</v>
      </c>
      <c r="Q4">
        <v>295.08</v>
      </c>
      <c r="S4">
        <v>299.61</v>
      </c>
    </row>
    <row r="5">
      <c r="A5" t="inlineStr">
        <is>
          <t xml:space="preserve">后场合流合流</t>
        </is>
      </c>
      <c r="B5" t="inlineStr">
        <is>
          <t xml:space="preserve">李金阳</t>
        </is>
      </c>
      <c r="P5">
        <v>298.45</v>
      </c>
      <c r="S5">
        <v>298.45</v>
      </c>
    </row>
    <row r="6">
      <c r="A6" t="inlineStr">
        <is>
          <t xml:space="preserve">一体化</t>
        </is>
      </c>
      <c r="B6" t="inlineStr">
        <is>
          <t xml:space="preserve">杨嘉晨</t>
        </is>
      </c>
      <c r="Q6">
        <v>267.77</v>
      </c>
      <c r="S6">
        <v>267.77</v>
      </c>
    </row>
    <row r="7">
      <c r="A7" t="inlineStr">
        <is>
          <t xml:space="preserve">后场合流合流</t>
        </is>
      </c>
      <c r="B7" t="inlineStr">
        <is>
          <t xml:space="preserve">李消</t>
        </is>
      </c>
      <c r="C7">
        <v>275.7</v>
      </c>
      <c r="D7">
        <v>290.98</v>
      </c>
      <c r="E7">
        <v>268.57</v>
      </c>
      <c r="F7">
        <v>304.94</v>
      </c>
      <c r="G7">
        <v>251.95</v>
      </c>
      <c r="H7">
        <v>244.66</v>
      </c>
      <c r="I7">
        <v>238.7</v>
      </c>
      <c r="J7">
        <v>263.22</v>
      </c>
      <c r="K7">
        <v>245.01</v>
      </c>
      <c r="L7">
        <v>241.71</v>
      </c>
      <c r="M7">
        <v>247.79</v>
      </c>
      <c r="N7">
        <v>251.57</v>
      </c>
      <c r="O7">
        <v>223.06</v>
      </c>
      <c r="S7">
        <v>259.96</v>
      </c>
    </row>
    <row r="8">
      <c r="A8" t="inlineStr">
        <is>
          <t xml:space="preserve">后场合流合流</t>
        </is>
      </c>
      <c r="B8" t="inlineStr">
        <is>
          <t xml:space="preserve">杨金伟</t>
        </is>
      </c>
      <c r="F8">
        <v>227.67</v>
      </c>
      <c r="G8">
        <v>272.09</v>
      </c>
      <c r="H8">
        <v>266.92</v>
      </c>
      <c r="I8">
        <v>427.12</v>
      </c>
      <c r="J8">
        <v>266.92</v>
      </c>
      <c r="K8">
        <v>257.45</v>
      </c>
      <c r="L8">
        <v>271.91</v>
      </c>
      <c r="M8">
        <v>243.12</v>
      </c>
      <c r="N8">
        <v>244.44</v>
      </c>
      <c r="O8">
        <v>273.59</v>
      </c>
      <c r="S8">
        <v>258.43</v>
      </c>
    </row>
    <row r="9">
      <c r="A9" t="inlineStr">
        <is>
          <t xml:space="preserve">后场合流合流</t>
        </is>
      </c>
      <c r="B9" t="inlineStr">
        <is>
          <t xml:space="preserve">戴恒</t>
        </is>
      </c>
      <c r="C9">
        <v>256.51</v>
      </c>
      <c r="D9">
        <v>280.7</v>
      </c>
      <c r="E9">
        <v>267.12</v>
      </c>
      <c r="F9">
        <v>261.1</v>
      </c>
      <c r="G9">
        <v>262.8</v>
      </c>
      <c r="H9">
        <v>235.23</v>
      </c>
      <c r="I9">
        <v>255.7</v>
      </c>
      <c r="J9">
        <v>244.99</v>
      </c>
      <c r="K9">
        <v>262.56</v>
      </c>
      <c r="L9">
        <v>251.53</v>
      </c>
      <c r="M9">
        <v>239.18</v>
      </c>
      <c r="N9">
        <v>233.91</v>
      </c>
      <c r="O9">
        <v>247.62</v>
      </c>
      <c r="S9">
        <v>256.94</v>
      </c>
    </row>
    <row r="10">
      <c r="A10" t="inlineStr">
        <is>
          <t xml:space="preserve">后场合流合流</t>
        </is>
      </c>
      <c r="B10" t="inlineStr">
        <is>
          <t xml:space="preserve">罗纤慧</t>
        </is>
      </c>
      <c r="F10">
        <v>301.54</v>
      </c>
      <c r="G10">
        <v>254.84</v>
      </c>
      <c r="H10">
        <v>245.16</v>
      </c>
      <c r="I10">
        <v>198.43</v>
      </c>
      <c r="J10">
        <v>271.7</v>
      </c>
      <c r="K10">
        <v>260.53</v>
      </c>
      <c r="L10">
        <v>253.05</v>
      </c>
      <c r="M10">
        <v>230.2</v>
      </c>
      <c r="N10">
        <v>283.21</v>
      </c>
      <c r="O10">
        <v>259.88</v>
      </c>
      <c r="P10">
        <v>252.73</v>
      </c>
      <c r="Q10">
        <v>224.62</v>
      </c>
      <c r="R10">
        <v>214.13</v>
      </c>
      <c r="S10">
        <v>253.44</v>
      </c>
    </row>
    <row r="11">
      <c r="A11" t="inlineStr">
        <is>
          <t xml:space="preserve">后场合流合流</t>
        </is>
      </c>
      <c r="B11" t="inlineStr">
        <is>
          <t xml:space="preserve">车秀花</t>
        </is>
      </c>
      <c r="P11">
        <v>244.07</v>
      </c>
      <c r="S11">
        <v>244.07</v>
      </c>
    </row>
    <row r="12">
      <c r="A12" t="inlineStr">
        <is>
          <t xml:space="preserve">后场合流合流</t>
        </is>
      </c>
      <c r="B12" t="inlineStr">
        <is>
          <t xml:space="preserve">吴春枝</t>
        </is>
      </c>
      <c r="D12">
        <v>227.85</v>
      </c>
      <c r="E12">
        <v>219.44</v>
      </c>
      <c r="F12">
        <v>225.69</v>
      </c>
      <c r="G12">
        <v>231.13</v>
      </c>
      <c r="I12">
        <v>255.72</v>
      </c>
      <c r="J12">
        <v>222.45</v>
      </c>
      <c r="K12">
        <v>180.0</v>
      </c>
      <c r="L12">
        <v>269.27</v>
      </c>
      <c r="M12">
        <v>242.75</v>
      </c>
      <c r="N12">
        <v>224.57</v>
      </c>
      <c r="O12">
        <v>296.47</v>
      </c>
      <c r="S12">
        <v>238.14</v>
      </c>
    </row>
    <row r="13">
      <c r="A13" t="inlineStr">
        <is>
          <t xml:space="preserve">后场合流合流</t>
        </is>
      </c>
      <c r="B13" t="inlineStr">
        <is>
          <t xml:space="preserve">杨顺琼</t>
        </is>
      </c>
      <c r="E13">
        <v>262.59</v>
      </c>
      <c r="F13">
        <v>264.33</v>
      </c>
      <c r="G13">
        <v>220.86</v>
      </c>
      <c r="H13">
        <v>273.3</v>
      </c>
      <c r="I13">
        <v>244.39</v>
      </c>
      <c r="J13">
        <v>239.36</v>
      </c>
      <c r="K13">
        <v>252.59</v>
      </c>
      <c r="L13">
        <v>236.92</v>
      </c>
      <c r="M13">
        <v>214.71</v>
      </c>
      <c r="N13">
        <v>173.33</v>
      </c>
      <c r="O13">
        <v>191.06</v>
      </c>
      <c r="P13">
        <v>189.25</v>
      </c>
      <c r="Q13">
        <v>167.44</v>
      </c>
      <c r="S13">
        <v>232.67</v>
      </c>
    </row>
    <row r="14">
      <c r="A14" t="inlineStr">
        <is>
          <t xml:space="preserve">后场合流合流</t>
        </is>
      </c>
      <c r="B14" t="inlineStr">
        <is>
          <t xml:space="preserve">赵菊会</t>
        </is>
      </c>
      <c r="I14">
        <v>241.42</v>
      </c>
      <c r="M14">
        <v>240.76</v>
      </c>
      <c r="O14">
        <v>224.6</v>
      </c>
      <c r="P14">
        <v>214.61</v>
      </c>
      <c r="S14">
        <v>225.06</v>
      </c>
    </row>
    <row r="15">
      <c r="A15" t="inlineStr">
        <is>
          <t xml:space="preserve">后场合流合流</t>
        </is>
      </c>
      <c r="B15" t="inlineStr">
        <is>
          <t xml:space="preserve">谢向琴</t>
        </is>
      </c>
      <c r="C15">
        <v>223.92</v>
      </c>
      <c r="S15">
        <v>223.92</v>
      </c>
    </row>
    <row r="16">
      <c r="A16" t="inlineStr">
        <is>
          <t xml:space="preserve">一体化</t>
        </is>
      </c>
      <c r="B16" t="inlineStr">
        <is>
          <t xml:space="preserve">沈宗俊</t>
        </is>
      </c>
      <c r="E16">
        <v>240.0</v>
      </c>
      <c r="F16">
        <v>236.2</v>
      </c>
      <c r="G16">
        <v>231.25</v>
      </c>
      <c r="H16">
        <v>210.0</v>
      </c>
      <c r="J16">
        <v>400.0</v>
      </c>
      <c r="L16">
        <v>201.68</v>
      </c>
      <c r="M16">
        <v>217.58</v>
      </c>
      <c r="N16">
        <v>136.71</v>
      </c>
      <c r="O16">
        <v>176.39</v>
      </c>
      <c r="P16">
        <v>222.86</v>
      </c>
      <c r="S16">
        <v>216.29</v>
      </c>
    </row>
    <row r="17">
      <c r="A17" t="inlineStr">
        <is>
          <t xml:space="preserve">一体化</t>
        </is>
      </c>
      <c r="B17" t="inlineStr">
        <is>
          <t xml:space="preserve">赵菊会</t>
        </is>
      </c>
      <c r="M17">
        <v>216.0</v>
      </c>
      <c r="S17">
        <v>216.0</v>
      </c>
    </row>
    <row r="18">
      <c r="A18" t="inlineStr">
        <is>
          <t xml:space="preserve">前场合流合流</t>
        </is>
      </c>
      <c r="B18" t="inlineStr">
        <is>
          <t xml:space="preserve">李营</t>
        </is>
      </c>
      <c r="K18">
        <v>225.0</v>
      </c>
      <c r="L18">
        <v>126.32</v>
      </c>
      <c r="N18">
        <v>378.95</v>
      </c>
      <c r="O18">
        <v>400.0</v>
      </c>
      <c r="S18">
        <v>204.55</v>
      </c>
    </row>
    <row r="19">
      <c r="A19" t="inlineStr">
        <is>
          <t xml:space="preserve">后场合流合流</t>
        </is>
      </c>
      <c r="B19" t="inlineStr">
        <is>
          <t xml:space="preserve">丁玥榕</t>
        </is>
      </c>
      <c r="P19">
        <v>185.81</v>
      </c>
      <c r="Q19">
        <v>198.46</v>
      </c>
      <c r="S19">
        <v>194.17</v>
      </c>
    </row>
    <row r="20">
      <c r="A20" t="inlineStr">
        <is>
          <t xml:space="preserve">一体化</t>
        </is>
      </c>
      <c r="B20" t="inlineStr">
        <is>
          <t xml:space="preserve">陈佳梅</t>
        </is>
      </c>
      <c r="M20">
        <v>213.33</v>
      </c>
      <c r="P20">
        <v>152.11</v>
      </c>
      <c r="S20">
        <v>192.23</v>
      </c>
    </row>
    <row r="21">
      <c r="A21" t="inlineStr">
        <is>
          <t xml:space="preserve">一体化</t>
        </is>
      </c>
      <c r="B21" t="inlineStr">
        <is>
          <t xml:space="preserve">段锦涵</t>
        </is>
      </c>
      <c r="Q21">
        <v>190.19</v>
      </c>
      <c r="S21">
        <v>190.19</v>
      </c>
    </row>
    <row r="22">
      <c r="A22" t="inlineStr">
        <is>
          <t xml:space="preserve">后场合流合流</t>
        </is>
      </c>
      <c r="B22" t="inlineStr">
        <is>
          <t xml:space="preserve">秦付祥</t>
        </is>
      </c>
      <c r="E22">
        <v>215.76</v>
      </c>
      <c r="F22">
        <v>192.63</v>
      </c>
      <c r="G22">
        <v>166.77</v>
      </c>
      <c r="P22">
        <v>154.29</v>
      </c>
      <c r="Q22">
        <v>171.43</v>
      </c>
      <c r="S22">
        <v>189.41</v>
      </c>
    </row>
    <row r="23">
      <c r="A23" t="inlineStr">
        <is>
          <t xml:space="preserve">后场合流合流</t>
        </is>
      </c>
      <c r="B23" t="inlineStr">
        <is>
          <t xml:space="preserve">陈佳梅</t>
        </is>
      </c>
      <c r="M23">
        <v>185.21</v>
      </c>
      <c r="P23">
        <v>189.63</v>
      </c>
      <c r="S23">
        <v>188.71</v>
      </c>
    </row>
    <row r="24">
      <c r="A24" t="inlineStr">
        <is>
          <t xml:space="preserve">一体化</t>
        </is>
      </c>
      <c r="B24" t="inlineStr">
        <is>
          <t xml:space="preserve">吴春枝</t>
        </is>
      </c>
      <c r="E24">
        <v>160.45</v>
      </c>
      <c r="F24">
        <v>180.0</v>
      </c>
      <c r="G24">
        <v>184.95</v>
      </c>
      <c r="H24">
        <v>289.29</v>
      </c>
      <c r="I24">
        <v>201.29</v>
      </c>
      <c r="J24">
        <v>40.0</v>
      </c>
      <c r="L24">
        <v>202.14</v>
      </c>
      <c r="M24">
        <v>128.57</v>
      </c>
      <c r="N24">
        <v>231.36</v>
      </c>
      <c r="S24">
        <v>188.37</v>
      </c>
    </row>
    <row r="25">
      <c r="A25" t="inlineStr">
        <is>
          <t xml:space="preserve">后场合流合流</t>
        </is>
      </c>
      <c r="B25" t="inlineStr">
        <is>
          <t xml:space="preserve">闵福星</t>
        </is>
      </c>
      <c r="P25">
        <v>184.98</v>
      </c>
      <c r="S25">
        <v>184.98</v>
      </c>
    </row>
    <row r="26">
      <c r="A26" t="inlineStr">
        <is>
          <t xml:space="preserve">一体化</t>
        </is>
      </c>
      <c r="B26" t="inlineStr">
        <is>
          <t xml:space="preserve">谢向琴</t>
        </is>
      </c>
      <c r="C26">
        <v>215.87</v>
      </c>
      <c r="D26">
        <v>190.91</v>
      </c>
      <c r="E26">
        <v>180.52</v>
      </c>
      <c r="F26">
        <v>178.64</v>
      </c>
      <c r="G26">
        <v>195.92</v>
      </c>
      <c r="H26">
        <v>148.99</v>
      </c>
      <c r="I26">
        <v>176.62</v>
      </c>
      <c r="J26">
        <v>128.57</v>
      </c>
      <c r="K26">
        <v>190.7</v>
      </c>
      <c r="L26">
        <v>178.72</v>
      </c>
      <c r="M26">
        <v>186.91</v>
      </c>
      <c r="S26">
        <v>180.15</v>
      </c>
    </row>
    <row r="27">
      <c r="A27" t="inlineStr">
        <is>
          <t xml:space="preserve">一体化</t>
        </is>
      </c>
      <c r="B27" t="inlineStr">
        <is>
          <t xml:space="preserve">戴恒</t>
        </is>
      </c>
      <c r="C27">
        <v>209.71</v>
      </c>
      <c r="D27">
        <v>155.91</v>
      </c>
      <c r="E27">
        <v>214.57</v>
      </c>
      <c r="F27">
        <v>156.52</v>
      </c>
      <c r="G27">
        <v>190.91</v>
      </c>
      <c r="H27">
        <v>192.0</v>
      </c>
      <c r="I27">
        <v>295.89</v>
      </c>
      <c r="J27">
        <v>145.34</v>
      </c>
      <c r="K27">
        <v>217.58</v>
      </c>
      <c r="L27">
        <v>179.07</v>
      </c>
      <c r="N27">
        <v>143.05</v>
      </c>
      <c r="O27">
        <v>190.24</v>
      </c>
      <c r="S27">
        <v>180.06</v>
      </c>
    </row>
    <row r="28">
      <c r="A28" t="inlineStr">
        <is>
          <t xml:space="preserve">一体化</t>
        </is>
      </c>
      <c r="B28" t="inlineStr">
        <is>
          <t xml:space="preserve">李营</t>
        </is>
      </c>
      <c r="D28">
        <v>144.0</v>
      </c>
      <c r="E28">
        <v>168.61</v>
      </c>
      <c r="F28">
        <v>293.33</v>
      </c>
      <c r="G28">
        <v>194.12</v>
      </c>
      <c r="I28">
        <v>154.35</v>
      </c>
      <c r="J28">
        <v>175.32</v>
      </c>
      <c r="K28">
        <v>115.2</v>
      </c>
      <c r="L28">
        <v>189.47</v>
      </c>
      <c r="M28">
        <v>196.36</v>
      </c>
      <c r="N28">
        <v>254.55</v>
      </c>
      <c r="S28">
        <v>176.76</v>
      </c>
    </row>
    <row r="29">
      <c r="A29" t="inlineStr">
        <is>
          <t xml:space="preserve">前场合流合流</t>
        </is>
      </c>
      <c r="B29" t="inlineStr">
        <is>
          <t xml:space="preserve">沈宗俊</t>
        </is>
      </c>
      <c r="K29">
        <v>120.0</v>
      </c>
      <c r="N29">
        <v>217.24</v>
      </c>
      <c r="S29">
        <v>174.76</v>
      </c>
    </row>
    <row r="30">
      <c r="A30" t="inlineStr">
        <is>
          <t xml:space="preserve">一体化</t>
        </is>
      </c>
      <c r="B30" t="inlineStr">
        <is>
          <t xml:space="preserve">李消</t>
        </is>
      </c>
      <c r="C30">
        <v>176.47</v>
      </c>
      <c r="D30">
        <v>160.0</v>
      </c>
      <c r="E30">
        <v>203.08</v>
      </c>
      <c r="F30">
        <v>208.26</v>
      </c>
      <c r="G30">
        <v>104.21</v>
      </c>
      <c r="H30">
        <v>162.71</v>
      </c>
      <c r="I30">
        <v>189.47</v>
      </c>
      <c r="J30">
        <v>116.13</v>
      </c>
      <c r="K30">
        <v>141.18</v>
      </c>
      <c r="L30">
        <v>153.9</v>
      </c>
      <c r="N30">
        <v>200.59</v>
      </c>
      <c r="O30">
        <v>177.78</v>
      </c>
      <c r="S30">
        <v>169.79</v>
      </c>
    </row>
    <row r="31">
      <c r="A31" t="inlineStr">
        <is>
          <t xml:space="preserve">一体化</t>
        </is>
      </c>
      <c r="B31" t="inlineStr">
        <is>
          <t xml:space="preserve">杨金伟</t>
        </is>
      </c>
      <c r="G31">
        <v>219.13</v>
      </c>
      <c r="H31">
        <v>213.08</v>
      </c>
      <c r="J31">
        <v>145.82</v>
      </c>
      <c r="K31">
        <v>148.62</v>
      </c>
      <c r="L31">
        <v>142.5</v>
      </c>
      <c r="N31">
        <v>160.51</v>
      </c>
      <c r="O31">
        <v>253.52</v>
      </c>
      <c r="S31">
        <v>168.01</v>
      </c>
    </row>
    <row r="32">
      <c r="A32" t="inlineStr">
        <is>
          <t xml:space="preserve">一体化</t>
        </is>
      </c>
      <c r="B32" t="inlineStr">
        <is>
          <t xml:space="preserve">杨顺琼</t>
        </is>
      </c>
      <c r="E32">
        <v>201.87</v>
      </c>
      <c r="F32">
        <v>146.51</v>
      </c>
      <c r="G32">
        <v>190.81</v>
      </c>
      <c r="H32">
        <v>171.43</v>
      </c>
      <c r="J32">
        <v>107.66</v>
      </c>
      <c r="L32">
        <v>184.62</v>
      </c>
      <c r="M32">
        <v>205.71</v>
      </c>
      <c r="N32">
        <v>163.64</v>
      </c>
      <c r="O32">
        <v>181.82</v>
      </c>
      <c r="P32">
        <v>123.19</v>
      </c>
      <c r="Q32">
        <v>109.09</v>
      </c>
      <c r="S32">
        <v>161.82</v>
      </c>
    </row>
    <row r="33">
      <c r="A33" t="inlineStr">
        <is>
          <t xml:space="preserve">一体化</t>
        </is>
      </c>
      <c r="B33" t="inlineStr">
        <is>
          <t xml:space="preserve">罗纤慧</t>
        </is>
      </c>
      <c r="F33">
        <v>176.47</v>
      </c>
      <c r="G33">
        <v>138.46</v>
      </c>
      <c r="H33">
        <v>128.71</v>
      </c>
      <c r="I33">
        <v>196.04</v>
      </c>
      <c r="J33">
        <v>135.68</v>
      </c>
      <c r="K33">
        <v>185.29</v>
      </c>
      <c r="L33">
        <v>180.0</v>
      </c>
      <c r="M33">
        <v>129.9</v>
      </c>
      <c r="N33">
        <v>102.86</v>
      </c>
      <c r="O33">
        <v>175.08</v>
      </c>
      <c r="P33">
        <v>245.45</v>
      </c>
      <c r="Q33">
        <v>145.45</v>
      </c>
      <c r="R33">
        <v>126.32</v>
      </c>
      <c r="S33">
        <v>151.45</v>
      </c>
    </row>
    <row r="34">
      <c r="A34" t="inlineStr">
        <is>
          <t xml:space="preserve">一体化</t>
        </is>
      </c>
      <c r="B34" t="inlineStr">
        <is>
          <t xml:space="preserve">秦付祥</t>
        </is>
      </c>
      <c r="E34">
        <v>180.0</v>
      </c>
      <c r="G34">
        <v>131.94</v>
      </c>
      <c r="I34">
        <v>128.57</v>
      </c>
      <c r="J34">
        <v>176.6</v>
      </c>
      <c r="L34">
        <v>117.39</v>
      </c>
      <c r="M34">
        <v>171.43</v>
      </c>
      <c r="O34">
        <v>165.14</v>
      </c>
      <c r="P34">
        <v>164.53</v>
      </c>
      <c r="Q34">
        <v>62.61</v>
      </c>
      <c r="S34">
        <v>149.71</v>
      </c>
    </row>
    <row r="35">
      <c r="A35" t="inlineStr">
        <is>
          <t xml:space="preserve">一体化</t>
        </is>
      </c>
      <c r="B35" t="inlineStr">
        <is>
          <t xml:space="preserve">丁玥榕</t>
        </is>
      </c>
      <c r="J35">
        <v>174.63</v>
      </c>
      <c r="K35">
        <v>126.32</v>
      </c>
      <c r="Q35">
        <v>139.13</v>
      </c>
      <c r="S35">
        <v>146.37</v>
      </c>
    </row>
    <row r="36">
      <c r="A36" t="inlineStr">
        <is>
          <t xml:space="preserve">前场合流合流</t>
        </is>
      </c>
      <c r="B36" t="inlineStr">
        <is>
          <t xml:space="preserve">杨顺琼</t>
        </is>
      </c>
      <c r="K36">
        <v>130.91</v>
      </c>
      <c r="M36">
        <v>157.89</v>
      </c>
      <c r="N36">
        <v>134.44</v>
      </c>
      <c r="S36">
        <v>140.49</v>
      </c>
    </row>
    <row r="37">
      <c r="A37" t="inlineStr">
        <is>
          <t xml:space="preserve">后场合流合流</t>
        </is>
      </c>
      <c r="B37" t="inlineStr">
        <is>
          <t xml:space="preserve">段锦涵</t>
        </is>
      </c>
      <c r="Q37">
        <v>138.57</v>
      </c>
      <c r="S37">
        <v>138.57</v>
      </c>
    </row>
    <row r="38">
      <c r="A38" t="inlineStr">
        <is>
          <t xml:space="preserve">一体化</t>
        </is>
      </c>
      <c r="B38" t="inlineStr">
        <is>
          <t xml:space="preserve">李蓉</t>
        </is>
      </c>
      <c r="J38">
        <v>160.0</v>
      </c>
      <c r="K38">
        <v>137.74</v>
      </c>
      <c r="L38">
        <v>134.06</v>
      </c>
      <c r="M38">
        <v>123.96</v>
      </c>
      <c r="N38">
        <v>140.71</v>
      </c>
      <c r="O38">
        <v>132.55</v>
      </c>
      <c r="P38">
        <v>127.29</v>
      </c>
      <c r="Q38">
        <v>115.9</v>
      </c>
      <c r="S38">
        <v>130.53</v>
      </c>
    </row>
    <row r="39">
      <c r="A39" t="inlineStr">
        <is>
          <t xml:space="preserve">前场合流合流</t>
        </is>
      </c>
      <c r="B39" t="inlineStr">
        <is>
          <t xml:space="preserve">罗纤慧</t>
        </is>
      </c>
      <c r="M39">
        <v>126.32</v>
      </c>
      <c r="S39">
        <v>126.32</v>
      </c>
    </row>
    <row r="40">
      <c r="A40" t="inlineStr">
        <is>
          <t xml:space="preserve">一体化</t>
        </is>
      </c>
      <c r="B40" t="inlineStr">
        <is>
          <t xml:space="preserve">祝馨</t>
        </is>
      </c>
      <c r="C40">
        <v>138.46</v>
      </c>
      <c r="D40">
        <v>85.34</v>
      </c>
      <c r="E40">
        <v>110.31</v>
      </c>
      <c r="F40">
        <v>127.63</v>
      </c>
      <c r="G40">
        <v>120.99</v>
      </c>
      <c r="H40">
        <v>127.74</v>
      </c>
      <c r="I40">
        <v>111.2</v>
      </c>
      <c r="J40">
        <v>156.38</v>
      </c>
      <c r="K40">
        <v>83.29</v>
      </c>
      <c r="L40">
        <v>129.5</v>
      </c>
      <c r="M40">
        <v>187.36</v>
      </c>
      <c r="S40">
        <v>122.83</v>
      </c>
    </row>
    <row r="41">
      <c r="A41" t="inlineStr">
        <is>
          <t xml:space="preserve">后场合流合流</t>
        </is>
      </c>
      <c r="B41" t="inlineStr">
        <is>
          <t xml:space="preserve">许石钻</t>
        </is>
      </c>
      <c r="Q41">
        <v>117.62</v>
      </c>
      <c r="R41">
        <v>137.5</v>
      </c>
      <c r="S41">
        <v>122.03</v>
      </c>
    </row>
    <row r="42">
      <c r="A42" t="inlineStr">
        <is>
          <t xml:space="preserve">后场合流合流</t>
        </is>
      </c>
      <c r="B42" t="inlineStr">
        <is>
          <t xml:space="preserve">孙昀</t>
        </is>
      </c>
      <c r="O42">
        <v>115.2</v>
      </c>
      <c r="P42">
        <v>125.1</v>
      </c>
      <c r="S42">
        <v>121.87</v>
      </c>
    </row>
    <row r="43">
      <c r="A43" t="inlineStr">
        <is>
          <t xml:space="preserve">前场合流合流</t>
        </is>
      </c>
      <c r="B43" t="inlineStr">
        <is>
          <t xml:space="preserve">丁玥榕</t>
        </is>
      </c>
      <c r="J43">
        <v>79.12</v>
      </c>
      <c r="K43">
        <v>96.77</v>
      </c>
      <c r="O43">
        <v>118.6</v>
      </c>
      <c r="P43">
        <v>130.12</v>
      </c>
      <c r="Q43">
        <v>114.08</v>
      </c>
      <c r="S43">
        <v>116.51</v>
      </c>
    </row>
    <row r="44">
      <c r="A44" t="inlineStr">
        <is>
          <t xml:space="preserve">前场合流合流</t>
        </is>
      </c>
      <c r="B44" t="inlineStr">
        <is>
          <t xml:space="preserve">许石钻</t>
        </is>
      </c>
      <c r="Q44">
        <v>110.2</v>
      </c>
      <c r="S44">
        <v>110.2</v>
      </c>
    </row>
    <row r="45">
      <c r="A45" t="inlineStr">
        <is>
          <t xml:space="preserve">前场合流合流</t>
        </is>
      </c>
      <c r="B45" t="inlineStr">
        <is>
          <t xml:space="preserve">祝馨</t>
        </is>
      </c>
      <c r="C45">
        <v>100.0</v>
      </c>
      <c r="S45">
        <v>100.0</v>
      </c>
    </row>
    <row r="46">
      <c r="A46" t="inlineStr">
        <is>
          <t xml:space="preserve">前场合流合流</t>
        </is>
      </c>
      <c r="B46" t="inlineStr">
        <is>
          <t xml:space="preserve">付政</t>
        </is>
      </c>
      <c r="P46">
        <v>94.33</v>
      </c>
      <c r="S46">
        <v>94.33</v>
      </c>
    </row>
    <row r="47">
      <c r="A47" t="inlineStr">
        <is>
          <t xml:space="preserve">前场合流合流</t>
        </is>
      </c>
      <c r="B47" t="inlineStr">
        <is>
          <t xml:space="preserve">段锦涵</t>
        </is>
      </c>
      <c r="H47">
        <v>110.31</v>
      </c>
      <c r="I47">
        <v>72.99</v>
      </c>
      <c r="J47">
        <v>107.69</v>
      </c>
      <c r="K47">
        <v>74.23</v>
      </c>
      <c r="L47">
        <v>88.03</v>
      </c>
      <c r="M47">
        <v>93.44</v>
      </c>
      <c r="N47">
        <v>74.96</v>
      </c>
      <c r="O47">
        <v>107.01</v>
      </c>
      <c r="P47">
        <v>108.55</v>
      </c>
      <c r="Q47">
        <v>71.05</v>
      </c>
      <c r="S47">
        <v>93.68</v>
      </c>
    </row>
    <row r="48">
      <c r="A48" t="inlineStr">
        <is>
          <t xml:space="preserve">前场合流合流</t>
        </is>
      </c>
      <c r="B48" t="inlineStr">
        <is>
          <t xml:space="preserve">杨金伟</t>
        </is>
      </c>
      <c r="N48">
        <v>110.77</v>
      </c>
      <c r="O48">
        <v>69.23</v>
      </c>
      <c r="S48">
        <v>92.31</v>
      </c>
    </row>
    <row r="49">
      <c r="A49" t="inlineStr">
        <is>
          <t xml:space="preserve">前场合流合流</t>
        </is>
      </c>
      <c r="B49" t="inlineStr">
        <is>
          <t xml:space="preserve">李蓉</t>
        </is>
      </c>
      <c r="Q49">
        <v>110.77</v>
      </c>
      <c r="R49">
        <v>86.4</v>
      </c>
      <c r="S49">
        <v>91.43</v>
      </c>
    </row>
    <row r="50">
      <c r="A50" t="inlineStr">
        <is>
          <t xml:space="preserve">前场合流合流</t>
        </is>
      </c>
      <c r="B50" t="inlineStr">
        <is>
          <t xml:space="preserve">戴恒</t>
        </is>
      </c>
      <c r="K50">
        <v>141.18</v>
      </c>
      <c r="N50">
        <v>75.79</v>
      </c>
      <c r="S50">
        <v>89.63</v>
      </c>
    </row>
    <row r="51">
      <c r="A51" t="inlineStr">
        <is>
          <t xml:space="preserve">一体化</t>
        </is>
      </c>
      <c r="B51" t="inlineStr">
        <is>
          <t xml:space="preserve">吴思涵</t>
        </is>
      </c>
      <c r="C51">
        <v>97.8</v>
      </c>
      <c r="D51">
        <v>90.45</v>
      </c>
      <c r="E51">
        <v>74.71</v>
      </c>
      <c r="F51">
        <v>96.82</v>
      </c>
      <c r="H51">
        <v>81.47</v>
      </c>
      <c r="J51">
        <v>87.27</v>
      </c>
      <c r="K51">
        <v>119.71</v>
      </c>
      <c r="S51">
        <v>88.28</v>
      </c>
    </row>
    <row r="52">
      <c r="A52" t="inlineStr">
        <is>
          <t xml:space="preserve">前场合流合流</t>
        </is>
      </c>
      <c r="B52" t="inlineStr">
        <is>
          <t xml:space="preserve">周凡倢</t>
        </is>
      </c>
      <c r="C52">
        <v>81.0</v>
      </c>
      <c r="D52">
        <v>45.28</v>
      </c>
      <c r="E52">
        <v>121.62</v>
      </c>
      <c r="F52">
        <v>86.82</v>
      </c>
      <c r="G52">
        <v>76.36</v>
      </c>
      <c r="S52">
        <v>86.03</v>
      </c>
    </row>
    <row r="53">
      <c r="A53" t="inlineStr">
        <is>
          <t xml:space="preserve">前场合流合流</t>
        </is>
      </c>
      <c r="B53" t="inlineStr">
        <is>
          <t xml:space="preserve">闵福星</t>
        </is>
      </c>
      <c r="K53">
        <v>133.33</v>
      </c>
      <c r="P53">
        <v>76.87</v>
      </c>
      <c r="S53">
        <v>85.97</v>
      </c>
    </row>
    <row r="54">
      <c r="A54" t="inlineStr">
        <is>
          <t xml:space="preserve">前场合流合流</t>
        </is>
      </c>
      <c r="B54" t="inlineStr">
        <is>
          <t xml:space="preserve">朱伟</t>
        </is>
      </c>
      <c r="K54">
        <v>109.09</v>
      </c>
      <c r="P54">
        <v>82.57</v>
      </c>
      <c r="S54">
        <v>84.43</v>
      </c>
    </row>
    <row r="55">
      <c r="A55" t="inlineStr">
        <is>
          <t xml:space="preserve">前场合流合流</t>
        </is>
      </c>
      <c r="B55" t="inlineStr">
        <is>
          <t xml:space="preserve">张晋杰</t>
        </is>
      </c>
      <c r="I55">
        <v>79.56</v>
      </c>
      <c r="J55">
        <v>65.57</v>
      </c>
      <c r="K55">
        <v>73.33</v>
      </c>
      <c r="L55">
        <v>68.13</v>
      </c>
      <c r="M55">
        <v>85.28</v>
      </c>
      <c r="N55">
        <v>83.72</v>
      </c>
      <c r="O55">
        <v>104.92</v>
      </c>
      <c r="P55">
        <v>88.07</v>
      </c>
      <c r="Q55">
        <v>96.21</v>
      </c>
      <c r="R55">
        <v>91.97</v>
      </c>
      <c r="S55">
        <v>84.38</v>
      </c>
    </row>
    <row r="56">
      <c r="A56" t="inlineStr">
        <is>
          <t xml:space="preserve">前场合流合流</t>
        </is>
      </c>
      <c r="B56" t="inlineStr">
        <is>
          <t xml:space="preserve">钱明艳</t>
        </is>
      </c>
      <c r="D56">
        <v>76.19</v>
      </c>
      <c r="E56">
        <v>89.83</v>
      </c>
      <c r="F56">
        <v>90.2</v>
      </c>
      <c r="G56">
        <v>77.63</v>
      </c>
      <c r="H56">
        <v>87.55</v>
      </c>
      <c r="S56">
        <v>84.19</v>
      </c>
    </row>
    <row r="57">
      <c r="A57" t="inlineStr">
        <is>
          <t xml:space="preserve">前场合流合流</t>
        </is>
      </c>
      <c r="B57" t="inlineStr">
        <is>
          <t xml:space="preserve">谢向琴</t>
        </is>
      </c>
      <c r="I57">
        <v>83.53</v>
      </c>
      <c r="S57">
        <v>83.53</v>
      </c>
    </row>
    <row r="58">
      <c r="A58" t="inlineStr">
        <is>
          <t xml:space="preserve">前场合流合流</t>
        </is>
      </c>
      <c r="B58" t="inlineStr">
        <is>
          <t xml:space="preserve">朱桂鋆</t>
        </is>
      </c>
      <c r="C58">
        <v>84.77</v>
      </c>
      <c r="D58">
        <v>60.71</v>
      </c>
      <c r="E58">
        <v>82.44</v>
      </c>
      <c r="F58">
        <v>78.36</v>
      </c>
      <c r="G58">
        <v>76.4</v>
      </c>
      <c r="H58">
        <v>78.21</v>
      </c>
      <c r="K58">
        <v>101.05</v>
      </c>
      <c r="M58">
        <v>114.34</v>
      </c>
      <c r="S58">
        <v>83.08</v>
      </c>
    </row>
    <row r="59">
      <c r="A59" t="inlineStr">
        <is>
          <t xml:space="preserve">前场合流合流</t>
        </is>
      </c>
      <c r="B59" t="inlineStr">
        <is>
          <t xml:space="preserve">高娟</t>
        </is>
      </c>
      <c r="C59">
        <v>48.98</v>
      </c>
      <c r="D59">
        <v>73.27</v>
      </c>
      <c r="E59">
        <v>95.31</v>
      </c>
      <c r="F59">
        <v>92.31</v>
      </c>
      <c r="G59">
        <v>83.33</v>
      </c>
      <c r="H59">
        <v>90.87</v>
      </c>
      <c r="I59">
        <v>80.22</v>
      </c>
      <c r="J59">
        <v>85.87</v>
      </c>
      <c r="K59">
        <v>96.0</v>
      </c>
      <c r="L59">
        <v>76.03</v>
      </c>
      <c r="M59">
        <v>71.24</v>
      </c>
      <c r="S59">
        <v>79.07</v>
      </c>
    </row>
    <row r="60">
      <c r="A60" t="inlineStr">
        <is>
          <t xml:space="preserve">前场合流合流</t>
        </is>
      </c>
      <c r="B60" t="inlineStr">
        <is>
          <t xml:space="preserve">卢书熠</t>
        </is>
      </c>
      <c r="L60">
        <v>200.0</v>
      </c>
      <c r="M60">
        <v>71.61</v>
      </c>
      <c r="S60">
        <v>76.71</v>
      </c>
    </row>
    <row r="61">
      <c r="A61" t="inlineStr">
        <is>
          <t xml:space="preserve">前场合流合流</t>
        </is>
      </c>
      <c r="B61" t="inlineStr">
        <is>
          <t xml:space="preserve">陈佳梅</t>
        </is>
      </c>
      <c r="F61">
        <v>86.24</v>
      </c>
      <c r="G61">
        <v>83.21</v>
      </c>
      <c r="I61">
        <v>106.07</v>
      </c>
      <c r="J61">
        <v>82.69</v>
      </c>
      <c r="K61">
        <v>60.48</v>
      </c>
      <c r="L61">
        <v>71.13</v>
      </c>
      <c r="M61">
        <v>63.66</v>
      </c>
      <c r="N61">
        <v>54.98</v>
      </c>
      <c r="O61">
        <v>80.96</v>
      </c>
      <c r="S61">
        <v>75.18</v>
      </c>
    </row>
    <row r="62">
      <c r="A62" t="inlineStr">
        <is>
          <t xml:space="preserve">前场合流合流</t>
        </is>
      </c>
      <c r="B62" t="inlineStr">
        <is>
          <t xml:space="preserve">赵菊会</t>
        </is>
      </c>
      <c r="F62">
        <v>81.91</v>
      </c>
      <c r="G62">
        <v>67.01</v>
      </c>
      <c r="I62">
        <v>71.69</v>
      </c>
      <c r="J62">
        <v>102.86</v>
      </c>
      <c r="K62">
        <v>56.1</v>
      </c>
      <c r="L62">
        <v>61.62</v>
      </c>
      <c r="M62">
        <v>56.36</v>
      </c>
      <c r="N62">
        <v>90.94</v>
      </c>
      <c r="O62">
        <v>80.97</v>
      </c>
      <c r="P62">
        <v>96.18</v>
      </c>
      <c r="S62">
        <v>73.43</v>
      </c>
    </row>
    <row r="63">
      <c r="A63" t="inlineStr">
        <is>
          <t xml:space="preserve">前场合流合流</t>
        </is>
      </c>
      <c r="B63" t="inlineStr">
        <is>
          <t xml:space="preserve">孙增昊</t>
        </is>
      </c>
      <c r="J63">
        <v>75.66</v>
      </c>
      <c r="K63">
        <v>69.43</v>
      </c>
      <c r="L63">
        <v>64.78</v>
      </c>
      <c r="M63">
        <v>65.81</v>
      </c>
      <c r="N63">
        <v>76.8</v>
      </c>
      <c r="O63">
        <v>57.68</v>
      </c>
      <c r="P63">
        <v>93.99</v>
      </c>
      <c r="Q63">
        <v>67.84</v>
      </c>
      <c r="S63">
        <v>70.26</v>
      </c>
    </row>
    <row r="64">
      <c r="A64" t="inlineStr">
        <is>
          <t xml:space="preserve">前场合流合流</t>
        </is>
      </c>
      <c r="B64" t="inlineStr">
        <is>
          <t xml:space="preserve">段碧莲</t>
        </is>
      </c>
      <c r="J64">
        <v>66.36</v>
      </c>
      <c r="K64">
        <v>93.77</v>
      </c>
      <c r="L64">
        <v>50.29</v>
      </c>
      <c r="M64">
        <v>57.1</v>
      </c>
      <c r="N64">
        <v>43.25</v>
      </c>
      <c r="O64">
        <v>103.02</v>
      </c>
      <c r="S64">
        <v>68.39</v>
      </c>
    </row>
    <row r="65">
      <c r="A65" t="inlineStr">
        <is>
          <t xml:space="preserve">前场合流合流</t>
        </is>
      </c>
      <c r="B65" t="inlineStr">
        <is>
          <t xml:space="preserve">吴春枝</t>
        </is>
      </c>
      <c r="K65">
        <v>240.0</v>
      </c>
      <c r="N65">
        <v>51.14</v>
      </c>
      <c r="S65">
        <v>65.97</v>
      </c>
    </row>
    <row r="66">
      <c r="A66" t="inlineStr">
        <is>
          <t xml:space="preserve">前场合流合流</t>
        </is>
      </c>
      <c r="B66" t="inlineStr">
        <is>
          <t xml:space="preserve">周楚涵</t>
        </is>
      </c>
      <c r="C66">
        <v>30.81</v>
      </c>
      <c r="D66">
        <v>56.82</v>
      </c>
      <c r="E66">
        <v>73.72</v>
      </c>
      <c r="F66">
        <v>90.57</v>
      </c>
      <c r="G66">
        <v>52.32</v>
      </c>
      <c r="H66">
        <v>83.83</v>
      </c>
      <c r="I66">
        <v>18.6</v>
      </c>
      <c r="J66">
        <v>10.53</v>
      </c>
      <c r="K66">
        <v>70.46</v>
      </c>
      <c r="L66">
        <v>51.13</v>
      </c>
      <c r="M66">
        <v>67.09</v>
      </c>
      <c r="N66">
        <v>120.0</v>
      </c>
      <c r="S66">
        <v>63.53</v>
      </c>
    </row>
    <row r="67">
      <c r="A67" t="inlineStr">
        <is>
          <t xml:space="preserve">前场合流合流</t>
        </is>
      </c>
      <c r="B67" t="inlineStr">
        <is>
          <t xml:space="preserve">吴思涵</t>
        </is>
      </c>
      <c r="C67">
        <v>60.0</v>
      </c>
      <c r="D67">
        <v>59.93</v>
      </c>
      <c r="E67">
        <v>52.43</v>
      </c>
      <c r="F67">
        <v>63.26</v>
      </c>
      <c r="G67">
        <v>78.5</v>
      </c>
      <c r="H67">
        <v>52.28</v>
      </c>
      <c r="J67">
        <v>69.68</v>
      </c>
      <c r="K67">
        <v>54.55</v>
      </c>
      <c r="S67">
        <v>61.02</v>
      </c>
    </row>
    <row r="68">
      <c r="A68" t="inlineStr">
        <is>
          <t xml:space="preserve">前场合流合流</t>
        </is>
      </c>
      <c r="B68" t="inlineStr">
        <is>
          <t xml:space="preserve">邰心语</t>
        </is>
      </c>
      <c r="C68">
        <v>40.53</v>
      </c>
      <c r="D68">
        <v>43.41</v>
      </c>
      <c r="E68">
        <v>61.62</v>
      </c>
      <c r="F68">
        <v>97.01</v>
      </c>
      <c r="G68">
        <v>56.47</v>
      </c>
      <c r="H68">
        <v>48.24</v>
      </c>
      <c r="K68">
        <v>61.11</v>
      </c>
      <c r="L68">
        <v>61.71</v>
      </c>
      <c r="M68">
        <v>56.11</v>
      </c>
      <c r="N68">
        <v>71.29</v>
      </c>
      <c r="S68">
        <v>60.43</v>
      </c>
    </row>
    <row r="69">
      <c r="A69" t="inlineStr">
        <is>
          <t xml:space="preserve">前场合流合流</t>
        </is>
      </c>
      <c r="B69" t="inlineStr">
        <is>
          <t xml:space="preserve">杨雅恋</t>
        </is>
      </c>
      <c r="J69">
        <v>52.94</v>
      </c>
      <c r="K69">
        <v>38.61</v>
      </c>
      <c r="L69">
        <v>53.46</v>
      </c>
      <c r="M69">
        <v>60.49</v>
      </c>
      <c r="N69">
        <v>69.39</v>
      </c>
      <c r="O69">
        <v>56.46</v>
      </c>
      <c r="P69">
        <v>72.21</v>
      </c>
      <c r="Q69">
        <v>43.13</v>
      </c>
      <c r="S69">
        <v>58.04</v>
      </c>
    </row>
    <row r="70">
      <c r="A70" t="inlineStr">
        <is>
          <t xml:space="preserve">前场合流合流</t>
        </is>
      </c>
      <c r="B70" t="inlineStr">
        <is>
          <t xml:space="preserve">刘令兼</t>
        </is>
      </c>
      <c r="P70">
        <v>54.78</v>
      </c>
      <c r="S70">
        <v>54.78</v>
      </c>
    </row>
    <row r="71">
      <c r="A71" t="inlineStr">
        <is>
          <t xml:space="preserve">前场合流合流</t>
        </is>
      </c>
      <c r="B71" t="inlineStr">
        <is>
          <t xml:space="preserve">唐智耀</t>
        </is>
      </c>
      <c r="K71">
        <v>39.06</v>
      </c>
      <c r="L71">
        <v>45.85</v>
      </c>
      <c r="M71">
        <v>60.16</v>
      </c>
      <c r="N71">
        <v>50.09</v>
      </c>
      <c r="O71">
        <v>37.78</v>
      </c>
      <c r="P71">
        <v>33.48</v>
      </c>
      <c r="Q71">
        <v>52.33</v>
      </c>
      <c r="S71">
        <v>45.66</v>
      </c>
    </row>
    <row r="72">
      <c r="A72" t="inlineStr">
        <is>
          <t xml:space="preserve">前场合流合流</t>
        </is>
      </c>
      <c r="B72" t="inlineStr">
        <is>
          <t xml:space="preserve">刘蕊</t>
        </is>
      </c>
      <c r="K72">
        <v>47.37</v>
      </c>
      <c r="L72">
        <v>28.34</v>
      </c>
      <c r="M72">
        <v>53.39</v>
      </c>
      <c r="N72">
        <v>51.43</v>
      </c>
      <c r="O72">
        <v>50.49</v>
      </c>
      <c r="P72">
        <v>32.99</v>
      </c>
      <c r="Q72">
        <v>58.11</v>
      </c>
      <c r="R72">
        <v>10.29</v>
      </c>
      <c r="S72">
        <v>45.07</v>
      </c>
    </row>
    <row r="73">
      <c r="A73" t="inlineStr">
        <is>
          <t xml:space="preserve">前场合流合流</t>
        </is>
      </c>
      <c r="B73" t="inlineStr">
        <is>
          <t xml:space="preserve">徐青</t>
        </is>
      </c>
      <c r="R73">
        <v>43.9</v>
      </c>
      <c r="S73">
        <v>43.9</v>
      </c>
    </row>
    <row r="74">
      <c r="A74" t="inlineStr">
        <is>
          <t xml:space="preserve">前场合流合流</t>
        </is>
      </c>
      <c r="B74" t="inlineStr">
        <is>
          <t xml:space="preserve">车秀花</t>
        </is>
      </c>
      <c r="P74">
        <v>27.48</v>
      </c>
      <c r="S74">
        <v>27.48</v>
      </c>
    </row>
    <row r="75">
      <c r="A75" t="inlineStr">
        <is>
          <t xml:space="preserve">合计</t>
        </is>
      </c>
      <c r="C75">
        <v>139.25</v>
      </c>
      <c r="D75">
        <v>144.29</v>
      </c>
      <c r="E75">
        <v>158.84</v>
      </c>
      <c r="F75">
        <v>164.7</v>
      </c>
      <c r="G75">
        <v>155.01</v>
      </c>
      <c r="H75">
        <v>145.38</v>
      </c>
      <c r="I75">
        <v>158.35</v>
      </c>
      <c r="J75">
        <v>152.8</v>
      </c>
      <c r="K75">
        <v>140.77</v>
      </c>
      <c r="L75">
        <v>127.07</v>
      </c>
      <c r="M75">
        <v>135.12</v>
      </c>
      <c r="N75">
        <v>129.2</v>
      </c>
      <c r="O75">
        <v>128.72</v>
      </c>
      <c r="P75">
        <v>129.05</v>
      </c>
      <c r="Q75">
        <v>105.42</v>
      </c>
      <c r="R75">
        <v>102.61</v>
      </c>
      <c r="S75">
        <v>139.26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DB0304A-EAD2-4618-ABDC-78DA3C128E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监控报表使用手册</vt:lpstr>
      <vt:lpstr>前后场填写</vt:lpstr>
      <vt:lpstr>拣货单</vt:lpstr>
      <vt:lpstr>日维度BY人效率监控-查看</vt:lpstr>
      <vt:lpstr>月维度BY人效率监控-查看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mingmaojun</dc:creator>
  <cp:lastModifiedBy>嘉晨 杨</cp:lastModifiedBy>
  <dcterms:created xsi:type="dcterms:W3CDTF">2015-06-05T18:19:34Z</dcterms:created>
  <dcterms:modified xsi:type="dcterms:W3CDTF">2026-09-13T21:47:46Z</dcterms:modified>
</cp:coreProperties>
</file>